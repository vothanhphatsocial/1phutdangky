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1d5e0a2324abc" /></Relationships>
</file>

<file path=xl/workbook.xml><?xml version="1.0" encoding="utf-8"?>
<x:workbook xmlns:x="http://schemas.openxmlformats.org/spreadsheetml/2006/main">
  <x:sheets>
    <x:sheet xmlns:r="http://schemas.openxmlformats.org/officeDocument/2006/relationships" name="Summary" sheetId="1" r:id="Rf830163cfa8b4028"/>
    <x:sheet xmlns:r="http://schemas.openxmlformats.org/officeDocument/2006/relationships" name="Plan Settings" sheetId="2" r:id="R5f7cec79af0648ee"/>
    <x:sheet xmlns:r="http://schemas.openxmlformats.org/officeDocument/2006/relationships" name="Unified Strategy" sheetId="3" r:id="Raf08c6c5de674e43"/>
    <x:sheet xmlns:r="http://schemas.openxmlformats.org/officeDocument/2006/relationships" name="Seed-to-Question Map" sheetId="4" r:id="R883655ae050b4a5b"/>
    <x:sheet xmlns:r="http://schemas.openxmlformats.org/officeDocument/2006/relationships" name="Content Portfolio" sheetId="5" r:id="Rc097bc017d5b4d9a"/>
    <x:sheet xmlns:r="http://schemas.openxmlformats.org/officeDocument/2006/relationships" name="Brief Index" sheetId="6" r:id="R4d1ca973ac804250"/>
    <x:sheet xmlns:r="http://schemas.openxmlformats.org/officeDocument/2006/relationships" name="Execution Briefs" sheetId="7" r:id="Rf132c55746274301"/>
    <x:sheet xmlns:r="http://schemas.openxmlformats.org/officeDocument/2006/relationships" name="CTA Matrix" sheetId="8" r:id="Rd220c80373f848d8"/>
    <x:sheet xmlns:r="http://schemas.openxmlformats.org/officeDocument/2006/relationships" name="Publish Source Matrix" sheetId="9" r:id="R78a1b019e8a648dd"/>
    <x:sheet xmlns:r="http://schemas.openxmlformats.org/officeDocument/2006/relationships" name="Daily Publishing Schedule" sheetId="10" r:id="Rb679f87eaffe44c5"/>
    <x:sheet xmlns:r="http://schemas.openxmlformats.org/officeDocument/2006/relationships" name="Dashboard" sheetId="11" r:id="Raf67c54ed0054448"/>
    <x:sheet xmlns:r="http://schemas.openxmlformats.org/officeDocument/2006/relationships" name="Codex Notes" sheetId="12" r:id="Rc2356d22347c46b1"/>
    <x:sheet xmlns:r="http://schemas.openxmlformats.org/officeDocument/2006/relationships" name="Evergreen Operating Protocol" sheetId="13" r:id="Rd34c5c60ce604884"/>
    <x:sheet xmlns:r="http://schemas.openxmlformats.org/officeDocument/2006/relationships" name="Evergreen Queue" sheetId="14" r:id="Rd2cb2dcc031a4080"/>
    <x:sheet xmlns:r="http://schemas.openxmlformats.org/officeDocument/2006/relationships" name="Next Action" sheetId="15" r:id="R3a960a5ab9c245e3"/>
    <x:sheet xmlns:r="http://schemas.openxmlformats.org/officeDocument/2006/relationships" name="Run Log" sheetId="16" r:id="R428fc1e47e4d40fc"/>
    <x:sheet xmlns:r="http://schemas.openxmlformats.org/officeDocument/2006/relationships" name="Discovery Rules" sheetId="17" r:id="R2f1d8353fcac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x:bgColor rgb="FFE2F0D9"/>
        </x:patternFill>
      </x:fill>
    </x:dxf>
    <x:dxf>
      <x:fill>
        <x:patternFill>
          <x:bgColor rgb="FFFFF2CC"/>
        </x:patternFill>
      </x:fill>
    </x:dxf>
    <x:dxf>
      <x:font>
        <x:b/>
      </x:font>
      <x:fill>
        <x:patternFill>
          <x:bgColor rgb="FFFCE4D6"/>
        </x:patternFill>
      </x:fill>
    </x:dxf>
    <x:dxf>
      <x:fill>
        <x:patternFill>
          <x:bgColor rgb="FFD9EAF7"/>
        </x:patternFill>
      </x:fill>
    </x:dxf>
    <x:dxf>
      <x:font>
        <x:b/>
      </x:font>
      <x:fill>
        <x:patternFill>
          <x:bgColor rgb="FFF4CCCC"/>
        </x:patternFill>
      </x:fill>
    </x:dxf>
    <x:dxf>
      <x:fill>
        <x:patternFill>
          <x:bgColor rgb="FFE2F0D9"/>
        </x:patternFill>
      </x:fill>
    </x:dxf>
    <x:dxf>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5ce13ad59d4d2f" /><Relationship Type="http://schemas.openxmlformats.org/officeDocument/2006/relationships/theme" Target="/xl/theme/theme1.xml" Id="R0962792f59d945dd" /><Relationship Type="http://schemas.openxmlformats.org/officeDocument/2006/relationships/sharedStrings" Target="/xl/sharedStrings.xml" Id="R9990952516664b1b" /><Relationship Type="http://schemas.openxmlformats.org/officeDocument/2006/relationships/worksheet" Target="/xl/worksheets/sheet1.xml" Id="Rf830163cfa8b4028" /><Relationship Type="http://schemas.openxmlformats.org/officeDocument/2006/relationships/worksheet" Target="/xl/worksheets/sheet2.xml" Id="R5f7cec79af0648ee" /><Relationship Type="http://schemas.openxmlformats.org/officeDocument/2006/relationships/worksheet" Target="/xl/worksheets/sheet3.xml" Id="Raf08c6c5de674e43" /><Relationship Type="http://schemas.openxmlformats.org/officeDocument/2006/relationships/worksheet" Target="/xl/worksheets/sheet4.xml" Id="R883655ae050b4a5b" /><Relationship Type="http://schemas.openxmlformats.org/officeDocument/2006/relationships/worksheet" Target="/xl/worksheets/sheet5.xml" Id="Rc097bc017d5b4d9a" /><Relationship Type="http://schemas.openxmlformats.org/officeDocument/2006/relationships/worksheet" Target="/xl/worksheets/sheet6.xml" Id="R4d1ca973ac804250" /><Relationship Type="http://schemas.openxmlformats.org/officeDocument/2006/relationships/worksheet" Target="/xl/worksheets/sheet7.xml" Id="Rf132c55746274301" /><Relationship Type="http://schemas.openxmlformats.org/officeDocument/2006/relationships/worksheet" Target="/xl/worksheets/sheet8.xml" Id="Rd220c80373f848d8" /><Relationship Type="http://schemas.openxmlformats.org/officeDocument/2006/relationships/worksheet" Target="/xl/worksheets/sheet9.xml" Id="R78a1b019e8a648dd" /><Relationship Type="http://schemas.openxmlformats.org/officeDocument/2006/relationships/worksheet" Target="/xl/worksheets/sheet10.xml" Id="Rb679f87eaffe44c5" /><Relationship Type="http://schemas.openxmlformats.org/officeDocument/2006/relationships/worksheet" Target="/xl/worksheets/sheet11.xml" Id="Raf67c54ed0054448" /><Relationship Type="http://schemas.openxmlformats.org/officeDocument/2006/relationships/worksheet" Target="/xl/worksheets/sheet12.xml" Id="Rc2356d22347c46b1" /><Relationship Type="http://schemas.openxmlformats.org/officeDocument/2006/relationships/worksheet" Target="/xl/worksheets/sheet13.xml" Id="Rd34c5c60ce604884" /><Relationship Type="http://schemas.openxmlformats.org/officeDocument/2006/relationships/worksheet" Target="/xl/worksheets/sheet14.xml" Id="Rd2cb2dcc031a4080" /><Relationship Type="http://schemas.openxmlformats.org/officeDocument/2006/relationships/worksheet" Target="/xl/worksheets/sheet15.xml" Id="R3a960a5ab9c245e3" /><Relationship Type="http://schemas.openxmlformats.org/officeDocument/2006/relationships/worksheet" Target="/xl/worksheets/sheet16.xml" Id="R428fc1e47e4d40fc" /><Relationship Type="http://schemas.openxmlformats.org/officeDocument/2006/relationships/worksheet" Target="/xl/worksheets/sheet17.xml" Id="R2f1d8353fcac4dc1"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738347f09b3641e3" /></Relationships>
</file>

<file path=xl/worksheets/_rels/sheet7.xml.rels>&#65279;<?xml version="1.0" encoding="utf-8"?><Relationships xmlns="http://schemas.openxmlformats.org/package/2006/relationships"><Relationship Type="http://schemas.openxmlformats.org/officeDocument/2006/relationships/table" Target="/xl/tables/table2.xml" Id="R33f8cdad48cc4ab7" /></Relationships>
</file>

<file path=xl/worksheets/_rels/sheet10.xml.rels>&#65279;<?xml version="1.0" encoding="utf-8"?><Relationships xmlns="http://schemas.openxmlformats.org/package/2006/relationships"><Relationship Type="http://schemas.openxmlformats.org/officeDocument/2006/relationships/table" Target="/xl/tables/table3.xml" Id="R8ad254e172b947a1" /></Relationships>
</file>

<file path=xl/worksheets/_rels/sheet14.xml.rels>&#65279;<?xml version="1.0" encoding="utf-8"?><Relationships xmlns="http://schemas.openxmlformats.org/package/2006/relationships"><Relationship Type="http://schemas.openxmlformats.org/officeDocument/2006/relationships/table" Target="/xl/tables/table4.xml" Id="Ra93a7c994135435b" /></Relationships>
</file>

<file path=xl/worksheets/_rels/sheet16.xml.rels>&#65279;<?xml version="1.0" encoding="utf-8"?><Relationships xmlns="http://schemas.openxmlformats.org/package/2006/relationships"><Relationship Type="http://schemas.openxmlformats.org/officeDocument/2006/relationships/table" Target="/xl/tables/table5.xml" Id="R5a1e3f920cac4a40"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1PHUTDANGKY.COM – MB BANK EVERGREEN CONTENT ENGINE</x:v>
      </x:c>
      <x:c r="B1" s="8"/>
      <x:c r="C1" s="8"/>
      <x:c r="D1" s="8"/>
      <x:c r="E1" s="8"/>
      <x:c r="F1" s="8"/>
      <x:c r="G1" s="8"/>
      <x:c r="H1" s="8"/>
    </x:row>
    <x:row r="2">
      <x:c r="A2" s="12" t="str">
        <x:v>Hệ thống không có ngày kết thúc. 211 keyword gốc là seed demand; Account + Referral MBAT113 + Card + Question/Problem expansion được vận hành bằng một lệnh duy nhất.</x:v>
      </x:c>
      <x:c r="B2" s="12"/>
      <x:c r="C2" s="12"/>
      <x:c r="D2" s="12"/>
      <x:c r="E2" s="12"/>
      <x:c r="F2" s="12"/>
      <x:c r="G2" s="12"/>
      <x:c r="H2" s="12"/>
    </x:row>
    <x:row r="3">
      <x:c r="A3"/>
      <x:c r="B3"/>
      <x:c r="C3"/>
      <x:c r="D3"/>
    </x:row>
    <x:row r="4">
      <x:c r="A4" s="20" t="str">
        <x:v>Area</x:v>
      </x:c>
      <x:c r="B4" s="20" t="str">
        <x:v>Decision</x:v>
      </x:c>
      <x:c r="C4" s="20" t="str">
        <x:v>Owner / URL</x:v>
      </x:c>
      <x:c r="D4" s="20" t="str">
        <x:v>Rule</x:v>
      </x:c>
    </x:row>
    <x:row r="5">
      <x:c r="A5" s="22" t="str">
        <x:v>Trigger command</x:v>
      </x:c>
      <x:c r="B5" s="22" t="str">
        <x:v>Bắt đầu tạo bài mới MB Bank</x:v>
      </x:c>
      <x:c r="C5" s="22" t="str">
        <x:v>Codex / Evergreen Engine</x:v>
      </x:c>
      <x:c r="D5" s="22" t="str">
        <x:v>Mỗi lệnh chạy đúng 1 content run hoàn chỉnh.</x:v>
      </x:c>
    </x:row>
    <x:row r="6">
      <x:c r="A6" s="22" t="str">
        <x:v>Original keyword source</x:v>
      </x:c>
      <x:c r="B6" s="22" t="str">
        <x:v>211 keywords</x:v>
      </x:c>
      <x:c r="C6" s="22" t="str">
        <x:v>Keyword source file</x:v>
      </x:c>
      <x:c r="D6" s="22" t="str">
        <x:v>Chỉ keyword gốc mới được gọi là original seed.</x:v>
      </x:c>
    </x:row>
    <x:row r="7">
      <x:c r="A7" s="22" t="str">
        <x:v>Account cluster</x:v>
      </x:c>
      <x:c r="B7" s="22" t="str">
        <x:v>177 keywords (128 account + 49 generic)</x:v>
      </x:c>
      <x:c r="C7" s="22" t="str">
        <x:v>https://1phutdangky.com/mo-tai-khoan/mo-tai-khoan-mb-bank-online/</x:v>
      </x:c>
      <x:c r="D7" s="22" t="str">
        <x:v>Giữ URL; canonical owner của mở/đăng ký/tạo/lập/làm tài khoản.</x:v>
      </x:c>
    </x:row>
    <x:row r="8">
      <x:c r="A8" s="22" t="str">
        <x:v>Referral cluster</x:v>
      </x:c>
      <x:c r="B8" s="22" t="str">
        <x:v>Business/affiliate expansion</x:v>
      </x:c>
      <x:c xmlns:x="http://schemas.openxmlformats.org/spreadsheetml/2006/main" r="C8" s="22" t="str">
        <x:v>https://1phutdangky.com/mo-tai-khoan/ma-gioi-thieu-mb-bank/</x:v>
      </x:c>
      <x:c r="D8" s="22" t="str">
        <x:v>Conversion pillar P0; mã dùng xuyên hệ thống: MBAT113.</x:v>
      </x:c>
    </x:row>
    <x:row r="9">
      <x:c r="A9" s="22" t="str">
        <x:v>Card cluster</x:v>
      </x:c>
      <x:c r="B9" s="22" t="str">
        <x:v>34 keywords</x:v>
      </x:c>
      <x:c xmlns:x="http://schemas.openxmlformats.org/spreadsheetml/2006/main" r="C9" s="22" t="str">
        <x:v>https://1phutdangky.com/the-tin-dung/mo-the-mb-bank-online/</x:v>
      </x:c>
      <x:c r="D9" s="22" t="str">
        <x:v>Canonical owner của intent thẻ MB.</x:v>
      </x:c>
    </x:row>
    <x:row r="10">
      <x:c r="A10" s="22" t="str">
        <x:v>Affiliate code</x:v>
      </x:c>
      <x:c r="B10" s="22" t="str">
        <x:v>MBAT113</x:v>
      </x:c>
      <x:c r="C10" s="22" t="str">
        <x:v>Pillar A + Pillar R + qualified support pages</x:v>
      </x:c>
      <x:c r="D10" s="22" t="str">
        <x:v>Không dùng mã khác trong content/CTA.</x:v>
      </x:c>
    </x:row>
    <x:row r="11">
      <x:c r="A11" s="22" t="str">
        <x:v>Reward claims</x:v>
      </x:c>
      <x:c r="B11" s="22" t="str">
        <x:v>Chỉ dùng khi có official current terms</x:v>
      </x:c>
      <x:c r="C11" s="22" t="str">
        <x:v>Pillar R</x:v>
      </x:c>
      <x:c r="D11" s="22" t="str">
        <x:v>Không tự nêu 30K/50K hoặc ưu đãi cũ.</x:v>
      </x:c>
    </x:row>
    <x:row r="12">
      <x:c r="A12" t="str">
        <x:v>Question expansion</x:v>
      </x:c>
      <x:c r="B12" t="str">
        <x:v>Eligibility / preparation / troubleshooting / safety / post-action</x:v>
      </x:c>
      <x:c r="C12" t="str">
        <x:v>Owner theo intent</x:v>
      </x:c>
      <x:c r="D12" t="str">
        <x:v>Không mặc định 1 câu hỏi = 1 URL.</x:v>
      </x:c>
    </x:row>
    <x:row r="13">
      <x:c r="A13" s="67" t="str">
        <x:v>UI</x:v>
      </x:c>
      <x:c r="B13" s="67" t="str">
        <x:v>Giữ UI hiện tại của 1phutdangky.com</x:v>
      </x:c>
      <x:c r="C13" s="67" t="str">
        <x:v>Project components</x:v>
      </x:c>
      <x:c r="D13" s="67" t="str">
        <x:v>Không redesign.</x:v>
      </x:c>
    </x:row>
    <x:row r="14">
      <x:c r="A14" s="22" t="str">
        <x:v>Git/Deploy</x:v>
      </x:c>
      <x:c r="B14" s="22" t="str">
        <x:v>Dùng workflow GitHub + Cloudflare hiện hữu</x:v>
      </x:c>
      <x:c r="C14" s="22" t="str">
        <x:v>Repository</x:v>
      </x:c>
      <x:c r="D14" s="22" t="str">
        <x:v>Không tạo infra mới.</x:v>
      </x:c>
    </x:row>
    <x:row r="15">
      <x:c r="A15" s="22" t="str">
        <x:v>State</x:v>
      </x:c>
      <x:c r="B15" s="22" t="str">
        <x:v>Evergreen Queue + Run Log</x:v>
      </x:c>
      <x:c r="C15" s="22" t="str">
        <x:v>Workbook</x:v>
      </x:c>
      <x:c r="D15" s="22" t="str">
        <x:v>Mỗi run phải tự cập nhật trạng thái.</x:v>
      </x:c>
    </x:row>
    <x:row r="16">
      <x:c r="A16" s="22" t="str">
        <x:v>When queue ends</x:v>
      </x:c>
      <x:c r="B16" s="22" t="str">
        <x:v>Discovery Mode</x:v>
      </x:c>
      <x:c r="C16" s="22" t="str">
        <x:v>Search Console/SERP/official sources</x:v>
      </x:c>
      <x:c r="D16" s="22" t="str">
        <x:v>Tạo 3–5 candidate, chọn 1 item tốt nhất.</x:v>
      </x:c>
    </x:row>
    <x:row r="17">
      <x:c r="A17" s="22"/>
      <x:c r="B17" s="22"/>
      <x:c r="C17" s="22"/>
      <x:c r="D17" s="22"/>
    </x:row>
    <x:row r="18">
      <x:c r="A18" s="22"/>
      <x:c r="B18" s="22"/>
      <x:c r="C18" s="22"/>
      <x:c r="D18" s="22"/>
    </x:row>
    <x:row r="19">
      <x:c r="A19" s="22"/>
      <x:c r="B19" s="22"/>
      <x:c r="C19" s="22"/>
      <x:c r="D19" s="22"/>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PLAN SETTINGS – MB BANK</x:v>
      </x:c>
      <x:c r="B1" s="28"/>
      <x:c r="C1" s="28"/>
      <x:c r="D1" s="28"/>
    </x:row>
    <x:row r="2">
      <x:c r="A2" t="str">
        <x:v>Các giá trị trung tâm để Codex và workbook dùng thống nhất.</x:v>
      </x:c>
      <x:c r="B2"/>
      <x:c r="C2"/>
      <x:c r="D2"/>
    </x:row>
    <x:row r="3">
      <x:c r="A3" s="20"/>
      <x:c r="B3" s="20"/>
      <x:c r="C3" s="20"/>
      <x:c r="D3" s="20"/>
    </x:row>
    <x:row r="4">
      <x:c r="A4" s="22" t="str">
        <x:v>Setting</x:v>
      </x:c>
      <x:c r="B4" s="32" t="str">
        <x:v>Value</x:v>
      </x:c>
      <x:c r="C4" s="22" t="str">
        <x:v>Type</x:v>
      </x:c>
      <x:c r="D4" s="22" t="str">
        <x:v>Notes</x:v>
      </x:c>
    </x:row>
    <x:row r="5">
      <x:c r="A5" s="22" t="str">
        <x:v>Site</x:v>
      </x:c>
      <x:c r="B5" s="22" t="str">
        <x:v>https://1phutdangky.com</x:v>
      </x:c>
      <x:c r="C5" s="22" t="str">
        <x:v>URL</x:v>
      </x:c>
      <x:c r="D5" s="22" t="str">
        <x:v>Target production site</x:v>
      </x:c>
    </x:row>
    <x:row r="6">
      <x:c r="A6" s="22" t="str">
        <x:v>Account Pillar URL</x:v>
      </x:c>
      <x:c r="B6" s="22" t="str">
        <x:v>https://1phutdangky.com/mo-tai-khoan/mo-tai-khoan-mb-bank-online/</x:v>
      </x:c>
      <x:c r="C6" s="22" t="str">
        <x:v>URL</x:v>
      </x:c>
      <x:c r="D6" s="22" t="str">
        <x:v>Existing canonical – keep</x:v>
      </x:c>
    </x:row>
    <x:row r="7">
      <x:c r="A7" s="22" t="str">
        <x:v>Referral Pillar URL</x:v>
      </x:c>
      <x:c xmlns:x="http://schemas.openxmlformats.org/spreadsheetml/2006/main" r="B7" s="22" t="str">
        <x:v>https://1phutdangky.com/mo-tai-khoan/ma-gioi-thieu-mb-bank/</x:v>
      </x:c>
      <x:c r="C7" s="22" t="str">
        <x:v>URL</x:v>
      </x:c>
      <x:c r="D7" s="22" t="str">
        <x:v>Primary affiliate conversion pillar</x:v>
      </x:c>
    </x:row>
    <x:row r="8">
      <x:c r="A8" s="22" t="str">
        <x:v>Card Pillar URL</x:v>
      </x:c>
      <x:c xmlns:x="http://schemas.openxmlformats.org/spreadsheetml/2006/main" r="B8" s="22" t="str">
        <x:v>https://1phutdangky.com/the-tin-dung/mo-the-mb-bank-online/</x:v>
      </x:c>
      <x:c r="C8" s="22" t="str">
        <x:v>URL</x:v>
      </x:c>
      <x:c r="D8" s="22" t="str">
        <x:v>Card canonical candidate</x:v>
      </x:c>
    </x:row>
    <x:row r="9">
      <x:c r="A9" s="22" t="str">
        <x:v>Affiliate Code</x:v>
      </x:c>
      <x:c r="B9" s="22" t="str">
        <x:v>MBAT113</x:v>
      </x:c>
      <x:c r="C9" s="22" t="str">
        <x:v>Text</x:v>
      </x:c>
      <x:c r="D9" s="22" t="str">
        <x:v>Use this exact code everywhere</x:v>
      </x:c>
    </x:row>
    <x:row r="10">
      <x:c r="A10" s="22" t="str">
        <x:v>Trigger Command</x:v>
      </x:c>
      <x:c r="B10" s="22" t="str">
        <x:v>Bắt đầu tạo bài mới MB Bank</x:v>
      </x:c>
      <x:c r="C10" s="22" t="str">
        <x:v>Text</x:v>
      </x:c>
      <x:c r="D10" s="22" t="str">
        <x:v>One command = one full content run</x:v>
      </x:c>
    </x:row>
    <x:row r="11">
      <x:c r="A11" s="22" t="str">
        <x:v>Engine Mode</x:v>
      </x:c>
      <x:c r="B11" s="22" t="str">
        <x:v>Evergreen</x:v>
      </x:c>
      <x:c r="C11" s="22" t="str">
        <x:v>Text</x:v>
      </x:c>
      <x:c r="D11" s="22" t="str">
        <x:v>No calendar dependency</x:v>
      </x:c>
    </x:row>
    <x:row r="12">
      <x:c r="A12" s="22" t="str">
        <x:v>Original Keywords</x:v>
      </x:c>
      <x:c r="B12" s="22" t="n">
        <x:v>211</x:v>
      </x:c>
      <x:c r="C12" s="22" t="str">
        <x:v>Number</x:v>
      </x:c>
      <x:c r="D12" s="22" t="str">
        <x:v>177 Account/Generic + 34 Card</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UNIFIED STRATEGY – KEYWORD SEED + QUESTIONS + MBAT113 + AFFILIATE</x:v>
      </x:c>
      <x:c r="B1" s="38"/>
      <x:c r="C1" s="38"/>
      <x:c r="D1" s="38"/>
      <x:c r="E1" s="38"/>
      <x:c r="F1" s="38"/>
      <x:c r="G1" s="38"/>
      <x:c r="H1" s="38"/>
      <x:c r="I1" s="38"/>
      <x:c r="J1" s="38"/>
    </x:row>
    <x:row r="2">
      <x:c r="A2" s="42" t="str">
        <x:v>Seed keyword quyết định demand/ownership; question/problem expansion mở rộng hành trình; referral MBAT113 là conversion layer P0.</x:v>
      </x:c>
      <x:c r="B2" s="42"/>
      <x:c r="C2" s="42"/>
      <x:c r="D2" s="42"/>
      <x:c r="E2" s="42"/>
      <x:c r="F2" s="42"/>
      <x:c r="G2" s="42"/>
      <x:c r="H2" s="42"/>
      <x:c r="I2" s="42"/>
      <x:c r="J2" s="42"/>
    </x:row>
    <x:row r="3">
      <x:c r="A3"/>
      <x:c r="B3"/>
      <x:c r="C3"/>
      <x:c r="D3"/>
      <x:c r="E3"/>
      <x:c r="F3"/>
      <x:c r="G3"/>
      <x:c r="H3"/>
      <x:c r="I3"/>
      <x:c r="J3"/>
    </x:row>
    <x:row r="4">
      <x:c r="A4" s="20" t="str">
        <x:v>Cluster</x:v>
      </x:c>
      <x:c r="B4" s="20" t="str">
        <x:v>Seed count</x:v>
      </x:c>
      <x:c r="C4" s="20" t="str">
        <x:v>Primary role</x:v>
      </x:c>
      <x:c r="D4" s="20" t="str">
        <x:v>Journey coverage</x:v>
      </x:c>
      <x:c r="E4" s="20" t="str">
        <x:v>Canonical owner</x:v>
      </x:c>
      <x:c r="F4" s="20" t="str">
        <x:v>Affiliate value</x:v>
      </x:c>
      <x:c r="G4" s="20" t="str">
        <x:v>Default format</x:v>
      </x:c>
      <x:c r="H4" s="20" t="str">
        <x:v>New URL rule</x:v>
      </x:c>
      <x:c r="I4" s="20" t="str">
        <x:v>Primary KPI</x:v>
      </x:c>
      <x:c r="J4" s="20" t="str">
        <x:v>Priority</x:v>
      </x:c>
    </x:row>
    <x:row r="5">
      <x:c r="A5" s="22" t="str">
        <x:v>Account + Generic MB</x:v>
      </x:c>
      <x:c r="B5" s="22" t="n">
        <x:v>177</x:v>
      </x:c>
      <x:c r="C5" s="22" t="str">
        <x:v>Traffic / acquisition</x:v>
      </x:c>
      <x:c r="D5" s="22" t="str">
        <x:v>Discovery → preparation → open account → error recovery</x:v>
      </x:c>
      <x:c r="E5" s="22" t="str">
        <x:v>Pillar A</x:v>
      </x:c>
      <x:c r="F5" s="22" t="str">
        <x:v>High</x:v>
      </x:c>
      <x:c r="G5" s="22" t="str">
        <x:v>Pillar + selected support</x:v>
      </x:c>
      <x:c r="H5" s="22" t="str">
        <x:v>Only if intent/utility/source separate</x:v>
      </x:c>
      <x:c r="I5" s="22" t="str">
        <x:v>Organic → account/referral CTA</x:v>
      </x:c>
      <x:c r="J5" s="22" t="str">
        <x:v>P0</x:v>
      </x:c>
    </x:row>
    <x:row r="6">
      <x:c r="A6" s="22" t="str">
        <x:v>Referral / MBAT113</x:v>
      </x:c>
      <x:c r="B6" s="22" t="n">
        <x:v>0</x:v>
      </x:c>
      <x:c r="C6" s="22" t="str">
        <x:v>Conversion</x:v>
      </x:c>
      <x:c r="D6" s="22" t="str">
        <x:v>Code/link → where-to-enter → benefit status → recovery → trust</x:v>
      </x:c>
      <x:c r="E6" s="22" t="str">
        <x:v>Pillar R</x:v>
      </x:c>
      <x:c r="F6" s="22" t="str">
        <x:v>Very High</x:v>
      </x:c>
      <x:c r="G6" s="22" t="str">
        <x:v>Pillar + referral support</x:v>
      </x:c>
      <x:c r="H6" s="22" t="str">
        <x:v>Split only for distinct problem intent</x:v>
      </x:c>
      <x:c r="I6" s="22" t="str">
        <x:v>Referral click / outbound / conversion</x:v>
      </x:c>
      <x:c r="J6" s="22" t="str">
        <x:v>P0</x:v>
      </x:c>
    </x:row>
    <x:row r="7">
      <x:c r="A7" s="22" t="str">
        <x:v>Card</x:v>
      </x:c>
      <x:c r="B7" s="22" t="n">
        <x:v>34</x:v>
      </x:c>
      <x:c r="C7" s="22" t="str">
        <x:v>Product expansion</x:v>
      </x:c>
      <x:c r="D7" s="22" t="str">
        <x:v>Card choice → issue → receive → fee → first-use</x:v>
      </x:c>
      <x:c r="E7" s="22" t="str">
        <x:v>Pillar C</x:v>
      </x:c>
      <x:c r="F7" s="22" t="str">
        <x:v>Medium</x:v>
      </x:c>
      <x:c r="G7" s="22" t="str">
        <x:v>Pillar + selected support</x:v>
      </x:c>
      <x:c r="H7" s="22" t="str">
        <x:v>Only if distinct card task</x:v>
      </x:c>
      <x:c r="I7" s="22" t="str">
        <x:v>Card traffic / assisted account conversion</x:v>
      </x:c>
      <x:c r="J7" s="22" t="str">
        <x:v>P1</x:v>
      </x:c>
    </x:row>
    <x:row r="8">
      <x:c r="A8" s="22" t="str">
        <x:v>Troubleshooting</x:v>
      </x:c>
      <x:c r="B8" s="22" t="str">
        <x:v>Expansion</x:v>
      </x:c>
      <x:c r="C8" s="22" t="str">
        <x:v>Task completion</x:v>
      </x:c>
      <x:c r="D8" s="22" t="str">
        <x:v>OTP / eKYC / NFC / CCCD / app / referral attribution</x:v>
      </x:c>
      <x:c r="E8" s="22" t="str">
        <x:v>A-ERRORS / A-NFC / R-support</x:v>
      </x:c>
      <x:c r="F8" s="22" t="str">
        <x:v>High</x:v>
      </x:c>
      <x:c r="G8" s="22" t="str">
        <x:v>Hub + sections</x:v>
      </x:c>
      <x:c r="H8" s="22" t="str">
        <x:v>No thin error pages</x:v>
      </x:c>
      <x:c r="I8" s="22" t="str">
        <x:v>Assisted conversions</x:v>
      </x:c>
      <x:c r="J8" s="22" t="str">
        <x:v>P0/P1</x:v>
      </x:c>
    </x:row>
    <x:row r="9">
      <x:c r="A9" s="22" t="str">
        <x:v>Trust / Safety</x:v>
      </x:c>
      <x:c r="B9" s="22" t="str">
        <x:v>Expansion</x:v>
      </x:c>
      <x:c r="C9" s="22" t="str">
        <x:v>Conversion trust</x:v>
      </x:c>
      <x:c r="D9" s="22" t="str">
        <x:v>Official link / privacy / OTP / referral safety</x:v>
      </x:c>
      <x:c r="E9" s="22" t="str">
        <x:v>A/R owners</x:v>
      </x:c>
      <x:c r="F9" s="22" t="str">
        <x:v>High</x:v>
      </x:c>
      <x:c r="G9" s="22" t="str">
        <x:v>Sections / bridge article</x:v>
      </x:c>
      <x:c r="H9" s="22" t="str">
        <x:v>Only if standalone utility</x:v>
      </x:c>
      <x:c r="I9" s="22" t="str">
        <x:v>Safe qualified clicks</x:v>
      </x:c>
      <x:c r="J9" s="22" t="str">
        <x:v>P1</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SEED-TO-QUESTION MAP – MB BANK</x:v>
      </x:c>
      <x:c r="B1" s="28"/>
      <x:c r="C1" s="28"/>
      <x:c r="D1" s="28"/>
      <x:c r="E1" s="28"/>
      <x:c r="F1" s="28"/>
      <x:c r="G1" s="28"/>
      <x:c r="H1" s="28"/>
      <x:c r="I1" s="28"/>
      <x:c r="J1" s="28"/>
      <x:c r="K1" s="28"/>
      <x:c r="L1" s="28"/>
      <x:c r="M1" s="28"/>
      <x:c r="N1" s="28"/>
      <x:c r="O1" s="28"/>
      <x:c r="P1" s="28"/>
      <x:c r="Q1" s="28"/>
    </x:row>
    <x:row r="2">
      <x:c r="A2" s="12" t="str">
        <x:v>Original seed count chỉ phản ánh file keyword. Expansion phải được kiểm qua SERP/Search Console/source trước khi publish.</x:v>
      </x:c>
      <x:c r="B2" s="12"/>
      <x:c r="C2" s="12"/>
      <x:c r="D2" s="12"/>
      <x:c r="E2" s="12"/>
      <x:c r="F2" s="12"/>
      <x:c r="G2" s="12"/>
      <x:c r="H2" s="12"/>
      <x:c r="I2" s="12"/>
      <x:c r="J2" s="12"/>
      <x:c r="K2" s="12"/>
      <x:c r="L2" s="12"/>
      <x:c r="M2" s="12"/>
      <x:c r="N2" s="12"/>
      <x:c r="O2" s="12"/>
      <x:c r="P2" s="12"/>
      <x:c r="Q2" s="12"/>
    </x:row>
    <x:row r="3">
      <x:c r="A3"/>
      <x:c r="B3"/>
      <x:c r="C3"/>
      <x:c r="D3"/>
      <x:c r="E3"/>
      <x:c r="F3"/>
      <x:c r="G3"/>
      <x:c r="H3"/>
      <x:c r="I3"/>
      <x:c r="J3"/>
      <x:c r="K3"/>
      <x:c r="L3"/>
      <x:c r="M3"/>
      <x:c r="N3"/>
      <x:c r="O3"/>
      <x:c r="P3"/>
      <x:c r="Q3"/>
    </x:row>
    <x:row r="4">
      <x:c r="A4" s="20" t="str">
        <x:v>ID</x:v>
      </x:c>
      <x:c r="B4" s="20" t="str">
        <x:v>Seed cluster</x:v>
      </x:c>
      <x:c r="C4" s="20" t="str">
        <x:v>Seed count</x:v>
      </x:c>
      <x:c r="D4" s="20" t="str">
        <x:v>Seed examples</x:v>
      </x:c>
      <x:c r="E4" s="20" t="str">
        <x:v>Expansion query/topic</x:v>
      </x:c>
      <x:c r="F4" s="20" t="str">
        <x:v>Journey stage</x:v>
      </x:c>
      <x:c r="G4" s="20" t="str">
        <x:v>Intent type</x:v>
      </x:c>
      <x:c r="H4" s="20" t="str">
        <x:v>Affiliate value</x:v>
      </x:c>
      <x:c r="I4" s="20" t="str">
        <x:v>Evidence</x:v>
      </x:c>
      <x:c r="J4" s="20" t="str">
        <x:v>Source readiness</x:v>
      </x:c>
      <x:c r="K4" s="20" t="str">
        <x:v>Canonical owner</x:v>
      </x:c>
      <x:c r="L4" s="20" t="str">
        <x:v>Recommended unit</x:v>
      </x:c>
      <x:c r="M4" s="20" t="str">
        <x:v>URL decision</x:v>
      </x:c>
      <x:c r="N4" s="20" t="str">
        <x:v>Priority</x:v>
      </x:c>
      <x:c r="O4" s="20" t="str">
        <x:v>GEO answer target</x:v>
      </x:c>
      <x:c r="P4" s="20" t="str">
        <x:v>Primary source</x:v>
      </x:c>
      <x:c r="Q4" s="20" t="str">
        <x:v>Notes</x:v>
      </x:c>
    </x:row>
    <x:row r="5">
      <x:c r="A5" s="22" t="str">
        <x:v>A01</x:v>
      </x:c>
      <x:c r="B5" s="22" t="str">
        <x:v>Account</x:v>
      </x:c>
      <x:c r="C5" s="22" t="n">
        <x:v>128</x:v>
      </x:c>
      <x:c r="D5" s="22" t="str">
        <x:v>mở/đăng ký/tạo/lập/làm tài khoản MB</x:v>
      </x:c>
      <x:c r="E5" s="22" t="str">
        <x:v>Mở tài khoản MB Bank cần những gì?</x:v>
      </x:c>
      <x:c r="F5" s="22" t="str">
        <x:v>Pre-action</x:v>
      </x:c>
      <x:c r="G5" s="22" t="str">
        <x:v>Eligibility</x:v>
      </x:c>
      <x:c r="H5" s="22" t="str">
        <x:v>High</x:v>
      </x:c>
      <x:c r="I5" s="22" t="str">
        <x:v>Seed + SERP</x:v>
      </x:c>
      <x:c r="J5" s="22" t="str">
        <x:v>Good</x:v>
      </x:c>
      <x:c r="K5" s="22" t="str">
        <x:v>A-NEED / A-PILLAR</x:v>
      </x:c>
      <x:c r="L5" s="22" t="str">
        <x:v>Support article</x:v>
      </x:c>
      <x:c r="M5" s="22" t="str">
        <x:v>Create</x:v>
      </x:c>
      <x:c r="N5" s="22" t="str">
        <x:v>P1</x:v>
      </x:c>
      <x:c r="O5" s="22" t="str">
        <x:v>Checklist điều kiện/giấy tờ/thiết bị.</x:v>
      </x:c>
      <x:c r="P5" s="22" t="str">
        <x:v>MB official account article</x:v>
      </x:c>
      <x:c r="Q5" s="22" t="str">
        <x:v>Link A/R.</x:v>
      </x:c>
    </x:row>
    <x:row r="6">
      <x:c r="A6" s="22" t="str">
        <x:v>A02</x:v>
      </x:c>
      <x:c r="B6" s="22" t="str">
        <x:v>Account</x:v>
      </x:c>
      <x:c r="C6" s="22" t="n">
        <x:v>128</x:v>
      </x:c>
      <x:c r="D6" s="22" t="str">
        <x:v>mở tài khoản MB online</x:v>
      </x:c>
      <x:c r="E6" s="22" t="str">
        <x:v>Bao nhiêu tuổi được mở tài khoản MB Bank?</x:v>
      </x:c>
      <x:c r="F6" s="22" t="str">
        <x:v>Pre-action</x:v>
      </x:c>
      <x:c r="G6" s="22" t="str">
        <x:v>Eligibility</x:v>
      </x:c>
      <x:c r="H6" s="22" t="str">
        <x:v>High</x:v>
      </x:c>
      <x:c r="I6" s="22" t="str">
        <x:v>SERP</x:v>
      </x:c>
      <x:c r="J6" s="22" t="str">
        <x:v>Good with current legal source</x:v>
      </x:c>
      <x:c r="K6" s="22" t="str">
        <x:v>A-AGE</x:v>
      </x:c>
      <x:c r="L6" s="22" t="str">
        <x:v>Support article</x:v>
      </x:c>
      <x:c r="M6" s="22" t="str">
        <x:v>Create</x:v>
      </x:c>
      <x:c r="N6" s="22" t="str">
        <x:v>P1</x:v>
      </x:c>
      <x:c r="O6" s="22" t="str">
        <x:v>Age band + channel + conditions.</x:v>
      </x:c>
      <x:c r="P6" s="22" t="str">
        <x:v>MB official/current regulation</x:v>
      </x:c>
      <x:c r="Q6" s="22" t="str">
        <x:v>YMYL review.</x:v>
      </x:c>
    </x:row>
    <x:row r="7">
      <x:c r="A7" s="22" t="str">
        <x:v>A03</x:v>
      </x:c>
      <x:c r="B7" s="22" t="str">
        <x:v>Account</x:v>
      </x:c>
      <x:c r="C7" s="22" t="n">
        <x:v>128</x:v>
      </x:c>
      <x:c r="D7" s="22" t="str">
        <x:v>mở tài khoản MB online</x:v>
      </x:c>
      <x:c r="E7" s="22" t="str">
        <x:v>Mở tài khoản MB có cần ra quầy không?</x:v>
      </x:c>
      <x:c r="F7" s="22" t="str">
        <x:v>Pre-action</x:v>
      </x:c>
      <x:c r="G7" s="22" t="str">
        <x:v>Channel decision</x:v>
      </x:c>
      <x:c r="H7" s="22" t="str">
        <x:v>High</x:v>
      </x:c>
      <x:c r="I7" s="22" t="str">
        <x:v>SERP</x:v>
      </x:c>
      <x:c r="J7" s="22" t="str">
        <x:v>Good</x:v>
      </x:c>
      <x:c r="K7" s="22" t="str">
        <x:v>A-PILLAR</x:v>
      </x:c>
      <x:c r="L7" s="22" t="str">
        <x:v>Section / FAQ</x:v>
      </x:c>
      <x:c r="M7" s="22" t="str">
        <x:v>No new URL</x:v>
      </x:c>
      <x:c r="N7" s="22" t="str">
        <x:v>P2</x:v>
      </x:c>
      <x:c r="O7" s="22" t="str">
        <x:v>Yes/no with conditions.</x:v>
      </x:c>
      <x:c r="P7" s="22" t="str">
        <x:v>MB official account article</x:v>
      </x:c>
      <x:c r="Q7" s="22" t="str">
        <x:v>Keep in owner.</x:v>
      </x:c>
    </x:row>
    <x:row r="8">
      <x:c r="A8" s="22" t="str">
        <x:v>A04</x:v>
      </x:c>
      <x:c r="B8" s="22" t="str">
        <x:v>Account</x:v>
      </x:c>
      <x:c r="C8" s="22" t="n">
        <x:v>128</x:v>
      </x:c>
      <x:c r="D8" s="22" t="str">
        <x:v>mở tài khoản MB</x:v>
      </x:c>
      <x:c r="E8" s="22" t="str">
        <x:v>Mở tài khoản MB có mất phí không?</x:v>
      </x:c>
      <x:c r="F8" s="22" t="str">
        <x:v>Pre-action</x:v>
      </x:c>
      <x:c r="G8" s="22" t="str">
        <x:v>Fee decision</x:v>
      </x:c>
      <x:c r="H8" s="22" t="str">
        <x:v>High</x:v>
      </x:c>
      <x:c r="I8" s="22" t="str">
        <x:v>SERP</x:v>
      </x:c>
      <x:c r="J8" s="22" t="str">
        <x:v>Current fee source required</x:v>
      </x:c>
      <x:c r="K8" s="22" t="str">
        <x:v>A-PILLAR</x:v>
      </x:c>
      <x:c r="L8" s="22" t="str">
        <x:v>Section / table</x:v>
      </x:c>
      <x:c r="M8" s="22" t="str">
        <x:v>No new URL</x:v>
      </x:c>
      <x:c r="N8" s="22" t="str">
        <x:v>P1</x:v>
      </x:c>
      <x:c r="O8" s="22" t="str">
        <x:v>Differentiate account vs card/services.</x:v>
      </x:c>
      <x:c r="P8" s="22" t="str">
        <x:v>MB official</x:v>
      </x:c>
      <x:c r="Q8" s="22" t="str">
        <x:v>No blanket free claim.</x:v>
      </x:c>
    </x:row>
    <x:row r="9">
      <x:c r="A9" s="22" t="str">
        <x:v>A05</x:v>
      </x:c>
      <x:c r="B9" s="22" t="str">
        <x:v>Account</x:v>
      </x:c>
      <x:c r="C9" s="22" t="n">
        <x:v>128</x:v>
      </x:c>
      <x:c r="D9" s="22" t="str">
        <x:v>đăng ký MB online</x:v>
      </x:c>
      <x:c r="E9" s="22" t="str">
        <x:v>Điện thoại không có NFC có mở MB được không?</x:v>
      </x:c>
      <x:c r="F9" s="22" t="str">
        <x:v>During-action</x:v>
      </x:c>
      <x:c r="G9" s="22" t="str">
        <x:v>Technical eligibility</x:v>
      </x:c>
      <x:c r="H9" s="22" t="str">
        <x:v>High</x:v>
      </x:c>
      <x:c r="I9" s="22" t="str">
        <x:v>SERP</x:v>
      </x:c>
      <x:c r="J9" s="22" t="str">
        <x:v>Current App needed</x:v>
      </x:c>
      <x:c r="K9" s="22" t="str">
        <x:v>A-NFC</x:v>
      </x:c>
      <x:c r="L9" s="22" t="str">
        <x:v>Support article</x:v>
      </x:c>
      <x:c r="M9" s="22" t="str">
        <x:v>Create</x:v>
      </x:c>
      <x:c r="N9" s="22" t="str">
        <x:v>P1</x:v>
      </x:c>
      <x:c r="O9" s="22" t="str">
        <x:v>Explain NFC + valid alternatives.</x:v>
      </x:c>
      <x:c r="P9" s="22" t="str">
        <x:v>Current App/MB247</x:v>
      </x:c>
      <x:c r="Q9" s="22" t="str">
        <x:v>No bypass.</x:v>
      </x:c>
    </x:row>
    <x:row r="10">
      <x:c r="A10" s="22" t="str">
        <x:v>A06</x:v>
      </x:c>
      <x:c r="B10" s="22" t="str">
        <x:v>Account</x:v>
      </x:c>
      <x:c r="C10" s="22" t="n">
        <x:v>128</x:v>
      </x:c>
      <x:c r="D10" s="22" t="str">
        <x:v>đăng ký MB</x:v>
      </x:c>
      <x:c r="E10" s="22" t="str">
        <x:v>Không đăng ký được MB Bank</x:v>
      </x:c>
      <x:c r="F10" s="22" t="str">
        <x:v>During-action</x:v>
      </x:c>
      <x:c r="G10" s="22" t="str">
        <x:v>Troubleshooting umbrella</x:v>
      </x:c>
      <x:c r="H10" s="22" t="str">
        <x:v>High</x:v>
      </x:c>
      <x:c r="I10" s="22" t="str">
        <x:v>Strong</x:v>
      </x:c>
      <x:c r="J10" s="22" t="str">
        <x:v>Good</x:v>
      </x:c>
      <x:c r="K10" s="22" t="str">
        <x:v>A-ERRORS</x:v>
      </x:c>
      <x:c r="L10" s="22" t="str">
        <x:v>Support hub</x:v>
      </x:c>
      <x:c r="M10" s="22" t="str">
        <x:v>Create</x:v>
      </x:c>
      <x:c r="N10" s="22" t="str">
        <x:v>P0</x:v>
      </x:c>
      <x:c r="O10" s="22" t="str">
        <x:v>Stage-based error resolution.</x:v>
      </x:c>
      <x:c r="P10" s="22" t="str">
        <x:v>MB247/current App</x:v>
      </x:c>
      <x:c r="Q10" s="22" t="str">
        <x:v>Primary completion asset.</x:v>
      </x:c>
    </x:row>
    <x:row r="11">
      <x:c r="A11" s="22" t="str">
        <x:v>A07</x:v>
      </x:c>
      <x:c r="B11" s="22" t="str">
        <x:v>Generic MB</x:v>
      </x:c>
      <x:c r="C11" s="22" t="n">
        <x:v>49</x:v>
      </x:c>
      <x:c r="D11" s="22" t="str">
        <x:v>làm MB / đăng ký MB / mở MB</x:v>
      </x:c>
      <x:c r="E11" s="22" t="str">
        <x:v>“Đăng ký MB” là mở tài khoản hay làm thẻ?</x:v>
      </x:c>
      <x:c r="F11" s="22" t="str">
        <x:v>Discovery</x:v>
      </x:c>
      <x:c r="G11" s="22" t="str">
        <x:v>Clarification</x:v>
      </x:c>
      <x:c r="H11" s="22" t="str">
        <x:v>High</x:v>
      </x:c>
      <x:c r="I11" s="22" t="str">
        <x:v>Original ambiguity</x:v>
      </x:c>
      <x:c r="J11" s="22" t="str">
        <x:v>Good</x:v>
      </x:c>
      <x:c r="K11" s="22" t="str">
        <x:v>A-PILLAR</x:v>
      </x:c>
      <x:c r="L11" s="22" t="str">
        <x:v>Answer block</x:v>
      </x:c>
      <x:c r="M11" s="22" t="str">
        <x:v>No new URL</x:v>
      </x:c>
      <x:c r="N11" s="22" t="str">
        <x:v>P1</x:v>
      </x:c>
      <x:c r="O11" s="22" t="str">
        <x:v>Disambiguate account vs card.</x:v>
      </x:c>
      <x:c r="P11" s="22" t="str">
        <x:v>Original 211 keywords</x:v>
      </x:c>
      <x:c r="Q11" s="22" t="str">
        <x:v>Strong GEO node.</x:v>
      </x:c>
    </x:row>
    <x:row r="12">
      <x:c r="A12" s="22" t="str">
        <x:v>R01</x:v>
      </x:c>
      <x:c r="B12" s="22" t="str">
        <x:v>Referral</x:v>
      </x:c>
      <x:c r="C12" s="22" t="n">
        <x:v>0</x:v>
      </x:c>
      <x:c r="D12" s="22" t="str">
        <x:v>Affiliate expansion</x:v>
      </x:c>
      <x:c r="E12" s="22" t="str">
        <x:v>Mã giới thiệu MB Bank MBAT113 là gì?</x:v>
      </x:c>
      <x:c r="F12" s="22" t="str">
        <x:v>Conversion</x:v>
      </x:c>
      <x:c r="G12" s="22" t="str">
        <x:v>Referral definition</x:v>
      </x:c>
      <x:c r="H12" s="22" t="str">
        <x:v>Very High</x:v>
      </x:c>
      <x:c r="I12" s="22" t="str">
        <x:v>Business + SERP</x:v>
      </x:c>
      <x:c r="J12" s="22" t="str">
        <x:v>Current flow check</x:v>
      </x:c>
      <x:c r="K12" s="22" t="str">
        <x:v>R-PILLAR</x:v>
      </x:c>
      <x:c r="L12" s="22" t="str">
        <x:v>Pillar</x:v>
      </x:c>
      <x:c r="M12" s="22" t="str">
        <x:v>Create</x:v>
      </x:c>
      <x:c r="N12" s="22" t="str">
        <x:v>P0</x:v>
      </x:c>
      <x:c r="O12" s="22" t="str">
        <x:v>Define MBAT113, link/code, disclosure.</x:v>
      </x:c>
      <x:c r="P12" s="22" t="str">
        <x:v>Owned + current App</x:v>
      </x:c>
      <x:c r="Q12" s="22" t="str">
        <x:v>Primary money page.</x:v>
      </x:c>
    </x:row>
    <x:row r="13">
      <x:c r="A13" s="22" t="str">
        <x:v>R02</x:v>
      </x:c>
      <x:c r="B13" s="22" t="str">
        <x:v>Referral</x:v>
      </x:c>
      <x:c r="C13" s="22" t="n">
        <x:v>0</x:v>
      </x:c>
      <x:c r="D13" s="22" t="str">
        <x:v>Affiliate expansion</x:v>
      </x:c>
      <x:c r="E13" s="22" t="str">
        <x:v>Mã MBAT113 nhập ở đâu khi đăng ký?</x:v>
      </x:c>
      <x:c r="F13" s="22" t="str">
        <x:v>Conversion</x:v>
      </x:c>
      <x:c r="G13" s="22" t="str">
        <x:v>Where-to-enter</x:v>
      </x:c>
      <x:c r="H13" s="22" t="str">
        <x:v>Very High</x:v>
      </x:c>
      <x:c r="I13" s="22" t="str">
        <x:v>SERP</x:v>
      </x:c>
      <x:c r="J13" s="22" t="str">
        <x:v>Current App required</x:v>
      </x:c>
      <x:c r="K13" s="22" t="str">
        <x:v>R-PILLAR</x:v>
      </x:c>
      <x:c r="L13" s="22" t="str">
        <x:v>Dominant H2</x:v>
      </x:c>
      <x:c r="M13" s="22" t="str">
        <x:v>No new URL default</x:v>
      </x:c>
      <x:c r="N13" s="22" t="str">
        <x:v>P0</x:v>
      </x:c>
      <x:c r="O13" s="22" t="str">
        <x:v>Exact current path/link behavior.</x:v>
      </x:c>
      <x:c r="P13" s="22" t="str">
        <x:v>Current App</x:v>
      </x:c>
      <x:c r="Q13" s="22" t="str">
        <x:v>Use current screenshot only.</x:v>
      </x:c>
    </x:row>
    <x:row r="14">
      <x:c r="A14" s="22" t="str">
        <x:v>R03</x:v>
      </x:c>
      <x:c r="B14" s="22" t="str">
        <x:v>Referral</x:v>
      </x:c>
      <x:c r="C14" s="22" t="n">
        <x:v>0</x:v>
      </x:c>
      <x:c r="D14" s="22" t="str">
        <x:v>Affiliate expansion</x:v>
      </x:c>
      <x:c r="E14" s="22" t="str">
        <x:v>Mã giới thiệu MB Bank có bắt buộc không?</x:v>
      </x:c>
      <x:c r="F14" s="22" t="str">
        <x:v>Conversion</x:v>
      </x:c>
      <x:c r="G14" s="22" t="str">
        <x:v>Decision</x:v>
      </x:c>
      <x:c r="H14" s="22" t="str">
        <x:v>High</x:v>
      </x:c>
      <x:c r="I14" s="22" t="str">
        <x:v>SERP</x:v>
      </x:c>
      <x:c r="J14" s="22" t="str">
        <x:v>Current terms needed</x:v>
      </x:c>
      <x:c r="K14" s="22" t="str">
        <x:v>R-PILLAR</x:v>
      </x:c>
      <x:c r="L14" s="22" t="str">
        <x:v>FAQ</x:v>
      </x:c>
      <x:c r="M14" s="22" t="str">
        <x:v>No new URL</x:v>
      </x:c>
      <x:c r="N14" s="22" t="str">
        <x:v>P1</x:v>
      </x:c>
      <x:c r="O14" s="22" t="str">
        <x:v>Registration vs referral attribution.</x:v>
      </x:c>
      <x:c r="P14" s="22" t="str">
        <x:v>Current App/program terms</x:v>
      </x:c>
      <x:c r="Q14" s="22" t="str">
        <x:v>Short answer.</x:v>
      </x:c>
    </x:row>
    <x:row r="15">
      <x:c r="A15" s="22" t="str">
        <x:v>R04</x:v>
      </x:c>
      <x:c r="B15" s="22" t="str">
        <x:v>Referral</x:v>
      </x:c>
      <x:c r="C15" s="22" t="n">
        <x:v>0</x:v>
      </x:c>
      <x:c r="D15" s="22" t="str">
        <x:v>Affiliate expansion</x:v>
      </x:c>
      <x:c r="E15" s="22" t="str">
        <x:v>Nhập mã giới thiệu MBAT113 được gì?</x:v>
      </x:c>
      <x:c r="F15" s="22" t="str">
        <x:v>Conversion</x:v>
      </x:c>
      <x:c r="G15" s="22" t="str">
        <x:v>Benefit</x:v>
      </x:c>
      <x:c r="H15" s="22" t="str">
        <x:v>Very High</x:v>
      </x:c>
      <x:c r="I15" s="22" t="str">
        <x:v>SERP</x:v>
      </x:c>
      <x:c r="J15" s="22" t="str">
        <x:v>Official current terms mandatory</x:v>
      </x:c>
      <x:c r="K15" s="22" t="str">
        <x:v>R-PILLAR</x:v>
      </x:c>
      <x:c r="L15" s="22" t="str">
        <x:v>Dynamic section</x:v>
      </x:c>
      <x:c r="M15" s="22" t="str">
        <x:v>No new URL</x:v>
      </x:c>
      <x:c r="N15" s="22" t="str">
        <x:v>P0</x:v>
      </x:c>
      <x:c r="O15" s="22" t="str">
        <x:v>Status + eligibility + checked date.</x:v>
      </x:c>
      <x:c r="P15" s="22" t="str">
        <x:v>MB official current terms</x:v>
      </x:c>
      <x:c r="Q15" s="22" t="str">
        <x:v>No unverified reward.</x:v>
      </x:c>
    </x:row>
    <x:row r="16">
      <x:c r="A16" s="22" t="str">
        <x:v>R05</x:v>
      </x:c>
      <x:c r="B16" s="22" t="str">
        <x:v>Referral</x:v>
      </x:c>
      <x:c r="C16" s="22" t="n">
        <x:v>0</x:v>
      </x:c>
      <x:c r="D16" s="22" t="str">
        <x:v>Affiliate expansion</x:v>
      </x:c>
      <x:c r="E16" s="22" t="str">
        <x:v>Quên nhập mã giới thiệu MB Bank có nhập lại được không?</x:v>
      </x:c>
      <x:c r="F16" s="22" t="str">
        <x:v>Conversion problem</x:v>
      </x:c>
      <x:c r="G16" s="22" t="str">
        <x:v>Troubleshooting</x:v>
      </x:c>
      <x:c r="H16" s="22" t="str">
        <x:v>Very High</x:v>
      </x:c>
      <x:c r="I16" s="22" t="str">
        <x:v>SERP</x:v>
      </x:c>
      <x:c r="J16" s="22" t="str">
        <x:v>Current flow + support</x:v>
      </x:c>
      <x:c r="K16" s="22" t="str">
        <x:v>R-FORGOT</x:v>
      </x:c>
      <x:c r="L16" s="22" t="str">
        <x:v>Support article</x:v>
      </x:c>
      <x:c r="M16" s="22" t="str">
        <x:v>Conditional/Create if verified</x:v>
      </x:c>
      <x:c r="N16" s="22" t="str">
        <x:v>P0</x:v>
      </x:c>
      <x:c r="O16" s="22" t="str">
        <x:v>Before/after completion scenarios.</x:v>
      </x:c>
      <x:c r="P16" s="22" t="str">
        <x:v>Current App + MB247</x:v>
      </x:c>
      <x:c r="Q16" s="22" t="str">
        <x:v>No invented method.</x:v>
      </x:c>
    </x:row>
    <x:row r="17">
      <x:c r="A17" s="22" t="str">
        <x:v>R06</x:v>
      </x:c>
      <x:c r="B17" s="22" t="str">
        <x:v>Referral</x:v>
      </x:c>
      <x:c r="C17" s="22" t="n">
        <x:v>0</x:v>
      </x:c>
      <x:c r="D17" s="22" t="str">
        <x:v>Affiliate expansion</x:v>
      </x:c>
      <x:c r="E17" s="22" t="str">
        <x:v>Nhập mã nhưng không được ghi nhận / chưa thấy ưu đãi</x:v>
      </x:c>
      <x:c r="F17" s="22" t="str">
        <x:v>Post-conversion</x:v>
      </x:c>
      <x:c r="G17" s="22" t="str">
        <x:v>Troubleshooting</x:v>
      </x:c>
      <x:c r="H17" s="22" t="str">
        <x:v>Very High</x:v>
      </x:c>
      <x:c r="I17" s="22" t="str">
        <x:v>SERP</x:v>
      </x:c>
      <x:c r="J17" s="22" t="str">
        <x:v>Official terms + MB247</x:v>
      </x:c>
      <x:c r="K17" s="22" t="str">
        <x:v>R-ATTR</x:v>
      </x:c>
      <x:c r="L17" s="22" t="str">
        <x:v>Support article</x:v>
      </x:c>
      <x:c r="M17" s="22" t="str">
        <x:v>Conditional/Create if verified</x:v>
      </x:c>
      <x:c r="N17" s="22" t="str">
        <x:v>P0</x:v>
      </x:c>
      <x:c r="O17" s="22" t="str">
        <x:v>Eligibility/status/support path.</x:v>
      </x:c>
      <x:c r="P17" s="22" t="str">
        <x:v>Official terms + MB247</x:v>
      </x:c>
      <x:c r="Q17" s="22" t="str">
        <x:v>No guarantee.</x:v>
      </x:c>
    </x:row>
    <x:row r="18">
      <x:c r="A18" s="22" t="str">
        <x:v>R07</x:v>
      </x:c>
      <x:c r="B18" s="22" t="str">
        <x:v>Referral</x:v>
      </x:c>
      <x:c r="C18" s="22" t="n">
        <x:v>0</x:v>
      </x:c>
      <x:c r="D18" s="22" t="str">
        <x:v>Affiliate expansion</x:v>
      </x:c>
      <x:c r="E18" s="22" t="str">
        <x:v>Dùng link giới thiệu MB Bank có an toàn không?</x:v>
      </x:c>
      <x:c r="F18" s="22" t="str">
        <x:v>Pre-action</x:v>
      </x:c>
      <x:c r="G18" s="22" t="str">
        <x:v>Trust</x:v>
      </x:c>
      <x:c r="H18" s="22" t="str">
        <x:v>High</x:v>
      </x:c>
      <x:c r="I18" s="22" t="str">
        <x:v>SERP</x:v>
      </x:c>
      <x:c r="J18" s="22" t="str">
        <x:v>Official security source</x:v>
      </x:c>
      <x:c r="K18" s="22" t="str">
        <x:v>R-PILLAR / A</x:v>
      </x:c>
      <x:c r="L18" s="22" t="str">
        <x:v>Section / bridge</x:v>
      </x:c>
      <x:c r="M18" s="22" t="str">
        <x:v>Conditional</x:v>
      </x:c>
      <x:c r="N18" s="22" t="str">
        <x:v>P1</x:v>
      </x:c>
      <x:c r="O18" s="22" t="str">
        <x:v>Referral ≠ sharing OTP/PIN.</x:v>
      </x:c>
      <x:c r="P18" s="22" t="str">
        <x:v>MB official security/support</x:v>
      </x:c>
      <x:c r="Q18" s="22" t="str">
        <x:v>Trust node.</x:v>
      </x:c>
    </x:row>
    <x:row r="19">
      <x:c r="A19" s="22" t="str">
        <x:v>C01</x:v>
      </x:c>
      <x:c r="B19" s="22" t="str">
        <x:v>Card</x:v>
      </x:c>
      <x:c r="C19" s="22" t="n">
        <x:v>34</x:v>
      </x:c>
      <x:c r="D19" s="22" t="str">
        <x:v>mở/làm/đăng ký thẻ MB</x:v>
      </x:c>
      <x:c r="E19" s="22" t="str">
        <x:v>Mở thẻ MB Bank online</x:v>
      </x:c>
      <x:c r="F19" s="22" t="str">
        <x:v>Acquisition</x:v>
      </x:c>
      <x:c r="G19" s="22" t="str">
        <x:v>Transactional</x:v>
      </x:c>
      <x:c r="H19" s="22" t="str">
        <x:v>Medium</x:v>
      </x:c>
      <x:c r="I19" s="22" t="str">
        <x:v>Original seed</x:v>
      </x:c>
      <x:c r="J19" s="22" t="str">
        <x:v>Good</x:v>
      </x:c>
      <x:c r="K19" s="22" t="str">
        <x:v>C-PILLAR</x:v>
      </x:c>
      <x:c r="L19" s="22" t="str">
        <x:v>Pillar</x:v>
      </x:c>
      <x:c r="M19" s="22" t="str">
        <x:v>Create</x:v>
      </x:c>
      <x:c r="N19" s="22" t="str">
        <x:v>P1</x:v>
      </x:c>
      <x:c r="O19" s="22" t="str">
        <x:v>Issue card online + account/card distinction.</x:v>
      </x:c>
      <x:c r="P19" s="22" t="str">
        <x:v>MB card issuance guide</x:v>
      </x:c>
      <x:c r="Q19" s="22" t="str">
        <x:v>Owner of 34 seeds.</x:v>
      </x:c>
    </x:row>
    <x:row r="20">
      <x:c r="A20" s="22" t="str">
        <x:v>C02</x:v>
      </x:c>
      <x:c r="B20" s="22" t="str">
        <x:v>Card</x:v>
      </x:c>
      <x:c r="C20" s="22" t="n">
        <x:v>34</x:v>
      </x:c>
      <x:c r="D20" s="22" t="str">
        <x:v>làm thẻ MB online</x:v>
      </x:c>
      <x:c r="E20" s="22" t="str">
        <x:v>Làm thẻ MB có cần tài khoản trước không?</x:v>
      </x:c>
      <x:c r="F20" s="22" t="str">
        <x:v>Pre-action</x:v>
      </x:c>
      <x:c r="G20" s="22" t="str">
        <x:v>Prerequisite</x:v>
      </x:c>
      <x:c r="H20" s="22" t="str">
        <x:v>Medium-High</x:v>
      </x:c>
      <x:c r="I20" s="22" t="str">
        <x:v>SERP</x:v>
      </x:c>
      <x:c r="J20" s="22" t="str">
        <x:v>Current product rules</x:v>
      </x:c>
      <x:c r="K20" s="22" t="str">
        <x:v>C-PREREQ</x:v>
      </x:c>
      <x:c r="L20" s="22" t="str">
        <x:v>Bridge support</x:v>
      </x:c>
      <x:c r="M20" s="22" t="str">
        <x:v>Conditional</x:v>
      </x:c>
      <x:c r="N20" s="22" t="str">
        <x:v>P1</x:v>
      </x:c>
      <x:c r="O20" s="22" t="str">
        <x:v>Answer by current flow.</x:v>
      </x:c>
      <x:c r="P20" s="22" t="str">
        <x:v>MB product/card pages</x:v>
      </x:c>
      <x:c r="Q20" s="22" t="str">
        <x:v>Can merge into C.</x:v>
      </x:c>
    </x:row>
    <x:row r="21">
      <x:c r="A21" s="22" t="str">
        <x:v>C03</x:v>
      </x:c>
      <x:c r="B21" s="22" t="str">
        <x:v>Card</x:v>
      </x:c>
      <x:c r="C21" s="22" t="n">
        <x:v>34</x:v>
      </x:c>
      <x:c r="D21" s="22" t="str">
        <x:v>mở thẻ MB tại nhà</x:v>
      </x:c>
      <x:c r="E21" s="22" t="str">
        <x:v>Mở thẻ MB tại nhà: đăng ký và nhận thẻ thế nào?</x:v>
      </x:c>
      <x:c r="F21" s="22" t="str">
        <x:v>Fulfillment</x:v>
      </x:c>
      <x:c r="G21" s="22" t="str">
        <x:v>Delivery</x:v>
      </x:c>
      <x:c r="H21" s="22" t="str">
        <x:v>Medium</x:v>
      </x:c>
      <x:c r="I21" s="22" t="str">
        <x:v>SERP</x:v>
      </x:c>
      <x:c r="J21" s="22" t="str">
        <x:v>Current terms needed</x:v>
      </x:c>
      <x:c r="K21" s="22" t="str">
        <x:v>C-DELIVERY</x:v>
      </x:c>
      <x:c r="L21" s="22" t="str">
        <x:v>Support</x:v>
      </x:c>
      <x:c r="M21" s="22" t="str">
        <x:v>Conditional</x:v>
      </x:c>
      <x:c r="N21" s="22" t="str">
        <x:v>P1</x:v>
      </x:c>
      <x:c r="O21" s="22" t="str">
        <x:v>Online registration vs physical delivery.</x:v>
      </x:c>
      <x:c r="P21" s="22" t="str">
        <x:v>MB current card terms</x:v>
      </x:c>
      <x:c r="Q21" s="22" t="str">
        <x:v>No blanket delivery claim.</x:v>
      </x:c>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row r="33">
      <x:c r="A33" s="22"/>
      <x:c r="B33" s="22"/>
      <x:c r="C33" s="22"/>
      <x:c r="D33" s="22"/>
      <x:c r="E33" s="22"/>
      <x:c r="F33" s="22"/>
      <x:c r="G33" s="22"/>
      <x:c r="H33" s="22"/>
      <x:c r="I33" s="22"/>
      <x:c r="J33" s="22"/>
      <x:c r="K33" s="22"/>
      <x:c r="L33" s="22"/>
      <x:c r="M33" s="22"/>
      <x:c r="N33" s="22"/>
      <x:c r="O33" s="22"/>
      <x:c r="P33" s="22"/>
      <x:c r="Q33" s="22"/>
    </x:row>
    <x:row r="34">
      <x:c r="A34" s="22"/>
      <x:c r="B34" s="22"/>
      <x:c r="C34" s="22"/>
      <x:c r="D34" s="22"/>
      <x:c r="E34" s="22"/>
      <x:c r="F34" s="22"/>
      <x:c r="G34" s="22"/>
      <x:c r="H34" s="22"/>
      <x:c r="I34" s="22"/>
      <x:c r="J34" s="22"/>
      <x:c r="K34" s="22"/>
      <x:c r="L34" s="22"/>
      <x:c r="M34" s="22"/>
      <x:c r="N34" s="22"/>
      <x:c r="O34" s="22"/>
      <x:c r="P34" s="22"/>
      <x:c r="Q34" s="22"/>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738347f09b3641e3"/>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CONTENT PORTFOLIO – MB BANK</x:v>
      </x:c>
      <x:c r="B1" s="28"/>
      <x:c r="C1" s="28"/>
      <x:c r="D1" s="28"/>
      <x:c r="E1" s="28"/>
      <x:c r="F1" s="28"/>
      <x:c r="G1" s="28"/>
      <x:c r="H1" s="28"/>
      <x:c r="I1" s="28"/>
      <x:c r="J1" s="28"/>
      <x:c r="K1" s="28"/>
      <x:c r="L1" s="28"/>
      <x:c r="M1" s="28"/>
    </x:row>
    <x:row r="2">
      <x:c r="A2" t="str">
        <x:v>Portfolio ưu tiên, không ép số lượng page. Conditional assets chỉ tách URL khi pass gate.</x:v>
      </x:c>
      <x:c r="B2"/>
      <x:c r="C2"/>
      <x:c r="D2"/>
      <x:c r="E2"/>
      <x:c r="F2"/>
      <x:c r="G2"/>
      <x:c r="H2"/>
      <x:c r="I2"/>
      <x:c r="J2"/>
      <x:c r="K2"/>
      <x:c r="L2"/>
      <x:c r="M2"/>
    </x:row>
    <x:row r="3">
      <x:c r="A3" s="20"/>
      <x:c r="B3" s="20"/>
      <x:c r="C3" s="20"/>
      <x:c r="D3" s="20"/>
      <x:c r="E3" s="20"/>
      <x:c r="F3" s="20"/>
      <x:c r="G3" s="20"/>
      <x:c r="H3" s="20"/>
      <x:c r="I3" s="20"/>
      <x:c r="J3" s="20"/>
      <x:c r="K3" s="20"/>
      <x:c r="L3" s="20"/>
      <x:c r="M3" s="20"/>
    </x:row>
    <x:row r="4">
      <x:c r="A4" s="22" t="str">
        <x:v>Order</x:v>
      </x:c>
      <x:c r="B4" s="22" t="str">
        <x:v>Asset ID</x:v>
      </x:c>
      <x:c r="C4" s="22" t="str">
        <x:v>Content asset</x:v>
      </x:c>
      <x:c r="D4" s="22" t="str">
        <x:v>Type</x:v>
      </x:c>
      <x:c r="E4" s="22" t="str">
        <x:v>Source relation</x:v>
      </x:c>
      <x:c r="F4" s="22" t="str">
        <x:v>Canonical owner</x:v>
      </x:c>
      <x:c r="G4" s="22" t="str">
        <x:v>Question/problem coverage</x:v>
      </x:c>
      <x:c r="H4" s="22" t="str">
        <x:v>Affiliate role</x:v>
      </x:c>
      <x:c r="I4" s="22" t="str">
        <x:v>Default status</x:v>
      </x:c>
      <x:c r="J4" s="22" t="str">
        <x:v>Priority</x:v>
      </x:c>
      <x:c r="K4" s="22" t="str">
        <x:v>URL / route</x:v>
      </x:c>
      <x:c r="L4" s="22" t="str">
        <x:v>Internal links</x:v>
      </x:c>
      <x:c r="M4" s="22" t="str">
        <x:v>Guardrail</x:v>
      </x:c>
    </x:row>
    <x:row r="5">
      <x:c r="A5" s="22" t="n">
        <x:v>1</x:v>
      </x:c>
      <x:c r="B5" s="22" t="str">
        <x:v>A-PILLAR</x:v>
      </x:c>
      <x:c r="C5" s="22" t="str">
        <x:v>Mở tài khoản MB Bank online</x:v>
      </x:c>
      <x:c r="D5" s="22" t="str">
        <x:v>Existing pillar</x:v>
      </x:c>
      <x:c r="E5" s="22" t="str">
        <x:v>177 original seeds</x:v>
      </x:c>
      <x:c r="F5" s="22" t="str">
        <x:v>Pillar A</x:v>
      </x:c>
      <x:c r="G5" s="22" t="str">
        <x:v>Account core + generic shorthand</x:v>
      </x:c>
      <x:c r="H5" s="22" t="str">
        <x:v>Acquisition → MBAT113</x:v>
      </x:c>
      <x:c r="I5" s="22" t="str">
        <x:v>Ready</x:v>
      </x:c>
      <x:c r="J5" s="22" t="str">
        <x:v>P0</x:v>
      </x:c>
      <x:c r="K5" s="22" t="str">
        <x:v>/mo-tai-khoan/mo-tai-khoan-mb-bank-online/</x:v>
      </x:c>
      <x:c r="L5" s="22" t="str">
        <x:v>A↔R; A→Errors; A→C</x:v>
      </x:c>
      <x:c r="M5" s="22" t="str">
        <x:v>Keep URL</x:v>
      </x:c>
    </x:row>
    <x:row r="6">
      <x:c r="A6" s="22" t="n">
        <x:v>2</x:v>
      </x:c>
      <x:c r="B6" s="22" t="str">
        <x:v>R-PILLAR</x:v>
      </x:c>
      <x:c r="C6" s="22" t="str">
        <x:v>Mã giới thiệu MB Bank MBAT113</x:v>
      </x:c>
      <x:c r="D6" s="22" t="str">
        <x:v>New pillar</x:v>
      </x:c>
      <x:c r="E6" s="22" t="str">
        <x:v>Affiliate expansion</x:v>
      </x:c>
      <x:c r="F6" s="22" t="str">
        <x:v>Pillar R</x:v>
      </x:c>
      <x:c r="G6" s="22" t="str">
        <x:v>Code/link/where/benefit/problems</x:v>
      </x:c>
      <x:c r="H6" s="22" t="str">
        <x:v>Primary conversion</x:v>
      </x:c>
      <x:c r="I6" s="22" t="str">
        <x:v>Ready</x:v>
      </x:c>
      <x:c r="J6" s="22" t="str">
        <x:v>P0</x:v>
      </x:c>
      <x:c xmlns:x="http://schemas.openxmlformats.org/spreadsheetml/2006/main" r="K6" s="22" t="str">
        <x:v>/mo-tai-khoan/ma-gioi-thieu-mb-bank/</x:v>
      </x:c>
      <x:c r="L6" s="22" t="str">
        <x:v>R↔A; R→R-support</x:v>
      </x:c>
      <x:c r="M6" s="22" t="str">
        <x:v>No unverified reward</x:v>
      </x:c>
    </x:row>
    <x:row r="7">
      <x:c r="A7" s="22" t="n">
        <x:v>3</x:v>
      </x:c>
      <x:c r="B7" s="22" t="str">
        <x:v>A-ERRORS</x:v>
      </x:c>
      <x:c r="C7" s="22" t="str">
        <x:v>Không đăng ký được MB Bank</x:v>
      </x:c>
      <x:c r="D7" s="22" t="str">
        <x:v>Support hub</x:v>
      </x:c>
      <x:c r="E7" s="22" t="str">
        <x:v>Account expansion</x:v>
      </x:c>
      <x:c r="F7" s="22" t="str">
        <x:v>A-ERRORS</x:v>
      </x:c>
      <x:c r="G7" s="22" t="str">
        <x:v>OTP/eKYC/NFC/app/info exists</x:v>
      </x:c>
      <x:c r="H7" s="22" t="str">
        <x:v>Task completion</x:v>
      </x:c>
      <x:c r="I7" s="22" t="str">
        <x:v>Ready</x:v>
      </x:c>
      <x:c r="J7" s="22" t="str">
        <x:v>P0</x:v>
      </x:c>
      <x:c r="K7" s="22" t="str">
        <x:v>Candidate support URL</x:v>
      </x:c>
      <x:c r="L7" s="22" t="str">
        <x:v>Errors↔A/R</x:v>
      </x:c>
      <x:c r="M7" s="22" t="str">
        <x:v>Safe troubleshooting</x:v>
      </x:c>
    </x:row>
    <x:row r="8">
      <x:c r="A8" s="22" t="n">
        <x:v>4</x:v>
      </x:c>
      <x:c r="B8" s="22" t="str">
        <x:v>A-NEED</x:v>
      </x:c>
      <x:c r="C8" s="22" t="str">
        <x:v>Mở tài khoản MB Bank cần gì?</x:v>
      </x:c>
      <x:c r="D8" s="22" t="str">
        <x:v>Support</x:v>
      </x:c>
      <x:c r="E8" s="22" t="str">
        <x:v>Account expansion</x:v>
      </x:c>
      <x:c r="F8" s="22" t="str">
        <x:v>A-NEED</x:v>
      </x:c>
      <x:c r="G8" s="22" t="str">
        <x:v>Preparation/requirements</x:v>
      </x:c>
      <x:c r="H8" s="22" t="str">
        <x:v>Qualification</x:v>
      </x:c>
      <x:c r="I8" s="22" t="str">
        <x:v>Ready</x:v>
      </x:c>
      <x:c r="J8" s="22" t="str">
        <x:v>P1</x:v>
      </x:c>
      <x:c r="K8" s="22" t="str">
        <x:v>Candidate support URL</x:v>
      </x:c>
      <x:c r="L8" s="22" t="str">
        <x:v>Need→A/R/Age/NFC</x:v>
      </x:c>
      <x:c r="M8" s="22" t="str">
        <x:v>Current requirements</x:v>
      </x:c>
    </x:row>
    <x:row r="9">
      <x:c r="A9" s="22" t="n">
        <x:v>5</x:v>
      </x:c>
      <x:c r="B9" s="22" t="str">
        <x:v>A-AGE</x:v>
      </x:c>
      <x:c r="C9" s="22" t="str">
        <x:v>Bao nhiêu tuổi được mở tài khoản MB Bank?</x:v>
      </x:c>
      <x:c r="D9" s="22" t="str">
        <x:v>Support</x:v>
      </x:c>
      <x:c r="E9" s="22" t="str">
        <x:v>Account expansion</x:v>
      </x:c>
      <x:c r="F9" s="22" t="str">
        <x:v>A-AGE</x:v>
      </x:c>
      <x:c r="G9" s="22" t="str">
        <x:v>Age/legal/channel</x:v>
      </x:c>
      <x:c r="H9" s="22" t="str">
        <x:v>Qualification</x:v>
      </x:c>
      <x:c r="I9" s="22" t="str">
        <x:v>Ready</x:v>
      </x:c>
      <x:c r="J9" s="22" t="str">
        <x:v>P1</x:v>
      </x:c>
      <x:c r="K9" s="22" t="str">
        <x:v>Candidate support URL</x:v>
      </x:c>
      <x:c r="L9" s="22" t="str">
        <x:v>Age→Need/A</x:v>
      </x:c>
      <x:c r="M9" s="22" t="str">
        <x:v>Current legal source</x:v>
      </x:c>
    </x:row>
    <x:row r="10">
      <x:c r="A10" s="22" t="n">
        <x:v>6</x:v>
      </x:c>
      <x:c r="B10" s="22" t="str">
        <x:v>A-NFC</x:v>
      </x:c>
      <x:c r="C10" s="22" t="str">
        <x:v>Không có NFC / CCCD không đọc chip</x:v>
      </x:c>
      <x:c r="D10" s="22" t="str">
        <x:v>Support</x:v>
      </x:c>
      <x:c r="E10" s="22" t="str">
        <x:v>Account expansion</x:v>
      </x:c>
      <x:c r="F10" s="22" t="str">
        <x:v>A-NFC</x:v>
      </x:c>
      <x:c r="G10" s="22" t="str">
        <x:v>NFC/chip troubleshooting</x:v>
      </x:c>
      <x:c r="H10" s="22" t="str">
        <x:v>Task completion</x:v>
      </x:c>
      <x:c r="I10" s="22" t="str">
        <x:v>Ready</x:v>
      </x:c>
      <x:c r="J10" s="22" t="str">
        <x:v>P1</x:v>
      </x:c>
      <x:c r="K10" s="22" t="str">
        <x:v>Candidate support URL</x:v>
      </x:c>
      <x:c r="L10" s="22" t="str">
        <x:v>NFC→Errors/A</x:v>
      </x:c>
      <x:c r="M10" s="22" t="str">
        <x:v>No bypass</x:v>
      </x:c>
    </x:row>
    <x:row r="11">
      <x:c r="A11" s="22" t="n">
        <x:v>7</x:v>
      </x:c>
      <x:c r="B11" s="22" t="str">
        <x:v>R-FORGOT</x:v>
      </x:c>
      <x:c r="C11" s="22" t="str">
        <x:v>Quên nhập mã giới thiệu MB Bank</x:v>
      </x:c>
      <x:c r="D11" s="22" t="str">
        <x:v>Support</x:v>
      </x:c>
      <x:c r="E11" s="22" t="str">
        <x:v>Referral expansion</x:v>
      </x:c>
      <x:c r="F11" s="22" t="str">
        <x:v>R-FORGOT</x:v>
      </x:c>
      <x:c r="G11" s="22" t="str">
        <x:v>Forgot code</x:v>
      </x:c>
      <x:c r="H11" s="22" t="str">
        <x:v>Conversion recovery</x:v>
      </x:c>
      <x:c r="I11" s="22" t="str">
        <x:v>Research</x:v>
      </x:c>
      <x:c r="J11" s="22" t="str">
        <x:v>P0</x:v>
      </x:c>
      <x:c r="K11" s="22" t="str">
        <x:v>Conditional</x:v>
      </x:c>
      <x:c r="L11" s="22" t="str">
        <x:v>Forgot→R/A</x:v>
      </x:c>
      <x:c r="M11" s="22" t="str">
        <x:v>Current flow required</x:v>
      </x:c>
    </x:row>
    <x:row r="12">
      <x:c r="A12" s="22" t="n">
        <x:v>8</x:v>
      </x:c>
      <x:c r="B12" s="22" t="str">
        <x:v>R-ATTR</x:v>
      </x:c>
      <x:c r="C12" s="22" t="str">
        <x:v>Mã không được ghi nhận / chưa thấy ưu đãi</x:v>
      </x:c>
      <x:c r="D12" s="22" t="str">
        <x:v>Support</x:v>
      </x:c>
      <x:c r="E12" s="22" t="str">
        <x:v>Referral expansion</x:v>
      </x:c>
      <x:c r="F12" s="22" t="str">
        <x:v>R-ATTR</x:v>
      </x:c>
      <x:c r="G12" s="22" t="str">
        <x:v>Attribution/eligibility/status</x:v>
      </x:c>
      <x:c r="H12" s="22" t="str">
        <x:v>Post-conversion support</x:v>
      </x:c>
      <x:c r="I12" s="22" t="str">
        <x:v>Research</x:v>
      </x:c>
      <x:c r="J12" s="22" t="str">
        <x:v>P0</x:v>
      </x:c>
      <x:c r="K12" s="22" t="str">
        <x:v>Conditional</x:v>
      </x:c>
      <x:c r="L12" s="22" t="str">
        <x:v>Attr→R/MB247</x:v>
      </x:c>
      <x:c r="M12" s="22" t="str">
        <x:v>Official terms required</x:v>
      </x:c>
    </x:row>
    <x:row r="13">
      <x:c r="A13" s="22" t="n">
        <x:v>9</x:v>
      </x:c>
      <x:c r="B13" s="22" t="str">
        <x:v>C-PILLAR</x:v>
      </x:c>
      <x:c r="C13" s="22" t="str">
        <x:v>Mở thẻ MB Bank online</x:v>
      </x:c>
      <x:c r="D13" s="22" t="str">
        <x:v>New pillar</x:v>
      </x:c>
      <x:c r="E13" s="22" t="str">
        <x:v>34 original card seeds</x:v>
      </x:c>
      <x:c r="F13" s="22" t="str">
        <x:v>Pillar C</x:v>
      </x:c>
      <x:c r="G13" s="22" t="str">
        <x:v>Card transactional</x:v>
      </x:c>
      <x:c r="H13" s="22" t="str">
        <x:v>Product expansion</x:v>
      </x:c>
      <x:c r="I13" s="22" t="str">
        <x:v>Ready</x:v>
      </x:c>
      <x:c r="J13" s="22" t="str">
        <x:v>P1</x:v>
      </x:c>
      <x:c xmlns:x="http://schemas.openxmlformats.org/spreadsheetml/2006/main" r="K13" s="22" t="str">
        <x:v>/the-tin-dung/mo-the-mb-bank-online/</x:v>
      </x:c>
      <x:c r="L13" s="22" t="str">
        <x:v>C↔A</x:v>
      </x:c>
      <x:c r="M13" s="22" t="str">
        <x:v>Account ≠ card</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EXECUTION BRIEF INDEX – MB BANK</x:v>
      </x:c>
      <x:c r="B1" s="28"/>
      <x:c r="C1" s="28"/>
      <x:c r="D1" s="28"/>
      <x:c r="E1" s="28"/>
      <x:c r="F1" s="28"/>
      <x:c r="G1" s="28"/>
      <x:c r="H1" s="28"/>
      <x:c r="I1" s="28"/>
      <x:c r="J1" s="28"/>
      <x:c r="K1" s="28"/>
      <x:c r="L1" s="28"/>
    </x:row>
    <x:row r="2">
      <x:c r="A2" t="str">
        <x:v>Ưu tiên để Codex thực thi; trạng thái vận hành thực tế nằm ở Evergreen Queue.</x:v>
      </x:c>
      <x:c r="B2"/>
      <x:c r="C2"/>
      <x:c r="D2"/>
      <x:c r="E2"/>
      <x:c r="F2"/>
      <x:c r="G2"/>
      <x:c r="H2"/>
      <x:c r="I2"/>
      <x:c r="J2"/>
      <x:c r="K2"/>
      <x:c r="L2"/>
    </x:row>
    <x:row r="3">
      <x:c r="A3" s="20"/>
      <x:c r="B3" s="20"/>
      <x:c r="C3" s="20"/>
      <x:c r="D3" s="20"/>
      <x:c r="E3" s="20"/>
      <x:c r="F3" s="20"/>
      <x:c r="G3" s="20"/>
      <x:c r="H3" s="20"/>
      <x:c r="I3" s="20"/>
      <x:c r="J3" s="20"/>
      <x:c r="K3" s="20"/>
      <x:c r="L3" s="20"/>
    </x:row>
    <x:row r="4">
      <x:c r="A4" s="22" t="str">
        <x:v>Order</x:v>
      </x:c>
      <x:c r="B4" s="22" t="str">
        <x:v>Asset ID</x:v>
      </x:c>
      <x:c r="C4" s="22" t="str">
        <x:v>Content asset</x:v>
      </x:c>
      <x:c r="D4" s="22" t="str">
        <x:v>Type</x:v>
      </x:c>
      <x:c r="E4" s="22" t="str">
        <x:v>Canonical owner</x:v>
      </x:c>
      <x:c r="F4" s="22" t="str">
        <x:v>Search intent</x:v>
      </x:c>
      <x:c r="G4" s="22" t="str">
        <x:v>Affiliate role</x:v>
      </x:c>
      <x:c r="H4" s="22" t="str">
        <x:v>Priority</x:v>
      </x:c>
      <x:c r="I4" s="22" t="str">
        <x:v>Default mode</x:v>
      </x:c>
      <x:c r="J4" s="22" t="str">
        <x:v>Source gate</x:v>
      </x:c>
      <x:c r="K4" s="22" t="str">
        <x:v>CTA level</x:v>
      </x:c>
      <x:c r="L4" s="22" t="str">
        <x:v>Notes</x:v>
      </x:c>
    </x:row>
    <x:row r="5">
      <x:c r="A5" s="22" t="n">
        <x:v>1</x:v>
      </x:c>
      <x:c r="B5" s="22" t="str">
        <x:v>A-PILLAR</x:v>
      </x:c>
      <x:c r="C5" s="22" t="str">
        <x:v>Mở tài khoản MB Bank online</x:v>
      </x:c>
      <x:c r="D5" s="22" t="str">
        <x:v>Existing pillar</x:v>
      </x:c>
      <x:c r="E5" s="22" t="str">
        <x:v>Pillar A</x:v>
      </x:c>
      <x:c r="F5" s="22" t="str">
        <x:v>Transactional account</x:v>
      </x:c>
      <x:c r="G5" s="22" t="str">
        <x:v>Acquisition → MBAT113</x:v>
      </x:c>
      <x:c r="H5" s="22" t="str">
        <x:v>P0</x:v>
      </x:c>
      <x:c r="I5" s="22" t="str">
        <x:v>Update existing</x:v>
      </x:c>
      <x:c r="J5" s="22" t="str">
        <x:v>MB account + current App</x:v>
      </x:c>
      <x:c r="K5" s="22" t="str">
        <x:v>High</x:v>
      </x:c>
      <x:c r="L5" s="22" t="str">
        <x:v>Keep URL</x:v>
      </x:c>
    </x:row>
    <x:row r="6">
      <x:c r="A6" s="22" t="n">
        <x:v>2</x:v>
      </x:c>
      <x:c r="B6" s="22" t="str">
        <x:v>R-PILLAR</x:v>
      </x:c>
      <x:c r="C6" s="22" t="str">
        <x:v>Mã giới thiệu MB Bank MBAT113</x:v>
      </x:c>
      <x:c r="D6" s="22" t="str">
        <x:v>New pillar</x:v>
      </x:c>
      <x:c r="E6" s="22" t="str">
        <x:v>Pillar R</x:v>
      </x:c>
      <x:c r="F6" s="22" t="str">
        <x:v>Referral/code/link</x:v>
      </x:c>
      <x:c r="G6" s="22" t="str">
        <x:v>Primary conversion</x:v>
      </x:c>
      <x:c r="H6" s="22" t="str">
        <x:v>P0</x:v>
      </x:c>
      <x:c r="I6" s="22" t="str">
        <x:v>New article</x:v>
      </x:c>
      <x:c r="J6" s="22" t="str">
        <x:v>Current flow + disclosure</x:v>
      </x:c>
      <x:c r="K6" s="22" t="str">
        <x:v>Very High</x:v>
      </x:c>
      <x:c r="L6" s="22" t="str">
        <x:v>Money page</x:v>
      </x:c>
    </x:row>
    <x:row r="7">
      <x:c r="A7" s="22" t="n">
        <x:v>3</x:v>
      </x:c>
      <x:c r="B7" s="22" t="str">
        <x:v>A-ERRORS</x:v>
      </x:c>
      <x:c r="C7" s="22" t="str">
        <x:v>Không đăng ký được MB Bank</x:v>
      </x:c>
      <x:c r="D7" s="22" t="str">
        <x:v>Support hub</x:v>
      </x:c>
      <x:c r="E7" s="22" t="str">
        <x:v>A-ERRORS</x:v>
      </x:c>
      <x:c r="F7" s="22" t="str">
        <x:v>Troubleshooting</x:v>
      </x:c>
      <x:c r="G7" s="22" t="str">
        <x:v>Task completion</x:v>
      </x:c>
      <x:c r="H7" s="22" t="str">
        <x:v>P0</x:v>
      </x:c>
      <x:c r="I7" s="22" t="str">
        <x:v>New article</x:v>
      </x:c>
      <x:c r="J7" s="22" t="str">
        <x:v>MB247 + current App</x:v>
      </x:c>
      <x:c r="K7" s="22" t="str">
        <x:v>Medium</x:v>
      </x:c>
      <x:c r="L7" s="22" t="str">
        <x:v>Hub</x:v>
      </x:c>
    </x:row>
    <x:row r="8">
      <x:c r="A8" s="22" t="n">
        <x:v>4</x:v>
      </x:c>
      <x:c r="B8" s="22" t="str">
        <x:v>R-FORGOT</x:v>
      </x:c>
      <x:c r="C8" s="22" t="str">
        <x:v>Quên nhập mã giới thiệu MB</x:v>
      </x:c>
      <x:c r="D8" s="22" t="str">
        <x:v>Support</x:v>
      </x:c>
      <x:c r="E8" s="22" t="str">
        <x:v>R-FORGOT</x:v>
      </x:c>
      <x:c r="F8" s="22" t="str">
        <x:v>Referral recovery</x:v>
      </x:c>
      <x:c r="G8" s="22" t="str">
        <x:v>Conversion recovery</x:v>
      </x:c>
      <x:c r="H8" s="22" t="str">
        <x:v>P0</x:v>
      </x:c>
      <x:c r="I8" s="22" t="str">
        <x:v>Conditional</x:v>
      </x:c>
      <x:c r="J8" s="22" t="str">
        <x:v>Current flow + MB247</x:v>
      </x:c>
      <x:c r="K8" s="22" t="str">
        <x:v>Medium</x:v>
      </x:c>
      <x:c r="L8" s="22" t="str">
        <x:v>No invented path</x:v>
      </x:c>
    </x:row>
    <x:row r="9">
      <x:c r="A9" s="22" t="n">
        <x:v>5</x:v>
      </x:c>
      <x:c r="B9" s="22" t="str">
        <x:v>R-ATTR</x:v>
      </x:c>
      <x:c r="C9" s="22" t="str">
        <x:v>Mã không được ghi nhận / chưa thấy ưu đãi</x:v>
      </x:c>
      <x:c r="D9" s="22" t="str">
        <x:v>Support</x:v>
      </x:c>
      <x:c r="E9" s="22" t="str">
        <x:v>R-ATTR</x:v>
      </x:c>
      <x:c r="F9" s="22" t="str">
        <x:v>Attribution troubleshooting</x:v>
      </x:c>
      <x:c r="G9" s="22" t="str">
        <x:v>Conversion support</x:v>
      </x:c>
      <x:c r="H9" s="22" t="str">
        <x:v>P0</x:v>
      </x:c>
      <x:c r="I9" s="22" t="str">
        <x:v>Conditional</x:v>
      </x:c>
      <x:c r="J9" s="22" t="str">
        <x:v>Official terms + MB247</x:v>
      </x:c>
      <x:c r="K9" s="22" t="str">
        <x:v>Low-Medium</x:v>
      </x:c>
      <x:c r="L9" s="22" t="str">
        <x:v>No guarantee</x:v>
      </x:c>
    </x:row>
    <x:row r="10">
      <x:c r="A10" s="22" t="n">
        <x:v>6</x:v>
      </x:c>
      <x:c r="B10" s="22" t="str">
        <x:v>A-NEED</x:v>
      </x:c>
      <x:c r="C10" s="22" t="str">
        <x:v>Mở tài khoản MB Bank cần gì?</x:v>
      </x:c>
      <x:c r="D10" s="22" t="str">
        <x:v>Support</x:v>
      </x:c>
      <x:c r="E10" s="22" t="str">
        <x:v>A-NEED</x:v>
      </x:c>
      <x:c r="F10" s="22" t="str">
        <x:v>Eligibility/preparation</x:v>
      </x:c>
      <x:c r="G10" s="22" t="str">
        <x:v>Qualification</x:v>
      </x:c>
      <x:c r="H10" s="22" t="str">
        <x:v>P1</x:v>
      </x:c>
      <x:c r="I10" s="22" t="str">
        <x:v>New article</x:v>
      </x:c>
      <x:c r="J10" s="22" t="str">
        <x:v>MB official account</x:v>
      </x:c>
      <x:c r="K10" s="22" t="str">
        <x:v>Medium</x:v>
      </x:c>
      <x:c r="L10" s="22" t="str">
        <x:v>Checklist</x:v>
      </x:c>
    </x:row>
    <x:row r="11">
      <x:c r="A11" s="22" t="n">
        <x:v>7</x:v>
      </x:c>
      <x:c r="B11" s="22" t="str">
        <x:v>A-AGE</x:v>
      </x:c>
      <x:c r="C11" s="22" t="str">
        <x:v>Bao nhiêu tuổi được mở tài khoản MB Bank?</x:v>
      </x:c>
      <x:c r="D11" s="22" t="str">
        <x:v>Support</x:v>
      </x:c>
      <x:c r="E11" s="22" t="str">
        <x:v>A-AGE</x:v>
      </x:c>
      <x:c r="F11" s="22" t="str">
        <x:v>Age eligibility</x:v>
      </x:c>
      <x:c r="G11" s="22" t="str">
        <x:v>Qualification</x:v>
      </x:c>
      <x:c r="H11" s="22" t="str">
        <x:v>P1</x:v>
      </x:c>
      <x:c r="I11" s="22" t="str">
        <x:v>New article</x:v>
      </x:c>
      <x:c r="J11" s="22" t="str">
        <x:v>MB + regulation</x:v>
      </x:c>
      <x:c r="K11" s="22" t="str">
        <x:v>Low-Medium</x:v>
      </x:c>
      <x:c r="L11" s="22" t="str">
        <x:v>YMYL</x:v>
      </x:c>
    </x:row>
    <x:row r="12">
      <x:c r="A12" s="22" t="n">
        <x:v>8</x:v>
      </x:c>
      <x:c r="B12" s="22" t="str">
        <x:v>A-NFC</x:v>
      </x:c>
      <x:c r="C12" s="22" t="str">
        <x:v>Không có NFC / CCCD không đọc chip</x:v>
      </x:c>
      <x:c r="D12" s="22" t="str">
        <x:v>Support</x:v>
      </x:c>
      <x:c r="E12" s="22" t="str">
        <x:v>A-NFC</x:v>
      </x:c>
      <x:c r="F12" s="22" t="str">
        <x:v>Technical troubleshooting</x:v>
      </x:c>
      <x:c r="G12" s="22" t="str">
        <x:v>Task completion</x:v>
      </x:c>
      <x:c r="H12" s="22" t="str">
        <x:v>P1</x:v>
      </x:c>
      <x:c r="I12" s="22" t="str">
        <x:v>New article</x:v>
      </x:c>
      <x:c r="J12" s="22" t="str">
        <x:v>Current App + MB247</x:v>
      </x:c>
      <x:c r="K12" s="22" t="str">
        <x:v>Low</x:v>
      </x:c>
      <x:c r="L12" s="22" t="str">
        <x:v>No bypass</x:v>
      </x:c>
    </x:row>
    <x:row r="13">
      <x:c r="A13" s="22" t="n">
        <x:v>9</x:v>
      </x:c>
      <x:c r="B13" s="22" t="str">
        <x:v>C-PILLAR</x:v>
      </x:c>
      <x:c r="C13" s="22" t="str">
        <x:v>Mở thẻ MB Bank online</x:v>
      </x:c>
      <x:c r="D13" s="22" t="str">
        <x:v>New pillar</x:v>
      </x:c>
      <x:c r="E13" s="22" t="str">
        <x:v>Pillar C</x:v>
      </x:c>
      <x:c r="F13" s="22" t="str">
        <x:v>Transactional card</x:v>
      </x:c>
      <x:c r="G13" s="22" t="str">
        <x:v>Product expansion</x:v>
      </x:c>
      <x:c r="H13" s="22" t="str">
        <x:v>P1</x:v>
      </x:c>
      <x:c r="I13" s="22" t="str">
        <x:v>New article</x:v>
      </x:c>
      <x:c r="J13" s="22" t="str">
        <x:v>MB card guide</x:v>
      </x:c>
      <x:c r="K13" s="22" t="str">
        <x:v>Low</x:v>
      </x:c>
      <x:c r="L13" s="22" t="str">
        <x:v>34 seeds</x:v>
      </x:c>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row r="16">
      <x:c r="A16" s="22"/>
      <x:c r="B16" s="22"/>
      <x:c r="C16" s="22"/>
      <x:c r="D16" s="22"/>
      <x:c r="E16" s="22"/>
      <x:c r="F16" s="22"/>
      <x:c r="G16" s="22"/>
      <x:c r="H16" s="22"/>
      <x:c r="I16" s="22"/>
      <x:c r="J16" s="22"/>
      <x:c r="K16" s="22"/>
      <x:c r="L16" s="22"/>
    </x:row>
    <x:row r="17">
      <x:c r="A17" s="22"/>
      <x:c r="B17" s="22"/>
      <x:c r="C17" s="22"/>
      <x:c r="D17" s="22"/>
      <x:c r="E17" s="22"/>
      <x:c r="F17" s="22"/>
      <x:c r="G17" s="22"/>
      <x:c r="H17" s="22"/>
      <x:c r="I17" s="22"/>
      <x:c r="J17" s="22"/>
      <x:c r="K17" s="22"/>
      <x:c r="L17" s="22"/>
    </x:row>
    <x:row r="18">
      <x:c r="A18" s="22"/>
      <x:c r="B18" s="22"/>
      <x:c r="C18" s="22"/>
      <x:c r="D18" s="22"/>
      <x:c r="E18" s="22"/>
      <x:c r="F18" s="22"/>
      <x:c r="G18" s="22"/>
      <x:c r="H18" s="22"/>
      <x:c r="I18" s="22"/>
      <x:c r="J18" s="22"/>
      <x:c r="K18" s="22"/>
      <x:c r="L18" s="22"/>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DETAILED EXECUTION BRIEFS – MB BANK</x:v>
      </x:c>
      <x:c r="B1" s="28"/>
      <x:c r="C1" s="28"/>
      <x:c r="D1" s="28"/>
      <x:c r="E1" s="28"/>
      <x:c r="F1" s="28"/>
      <x:c r="G1" s="28"/>
      <x:c r="H1" s="28"/>
      <x:c r="I1" s="28"/>
      <x:c r="J1" s="28"/>
      <x:c r="K1" s="28"/>
      <x:c r="L1" s="28"/>
      <x:c r="M1" s="28"/>
      <x:c r="N1" s="28"/>
      <x:c r="O1" s="28"/>
      <x:c r="P1" s="28"/>
      <x:c r="Q1" s="28"/>
    </x:row>
    <x:row r="2">
      <x:c r="A2" s="42" t="str">
        <x:v>Filter theo Asset ID. Mã affiliate chính thức trong project: MBAT113.</x:v>
      </x:c>
      <x:c r="B2" s="42"/>
      <x:c r="C2" s="42"/>
      <x:c r="D2" s="42"/>
      <x:c r="E2" s="42"/>
      <x:c r="F2" s="42"/>
      <x:c r="G2" s="42"/>
      <x:c r="H2" s="42"/>
      <x:c r="I2" s="42"/>
      <x:c r="J2" s="42"/>
      <x:c r="K2" s="42"/>
      <x:c r="L2" s="42"/>
      <x:c r="M2" s="42"/>
      <x:c r="N2" s="42"/>
      <x:c r="O2" s="42"/>
      <x:c r="P2" s="42"/>
      <x:c r="Q2" s="42"/>
    </x:row>
    <x:row r="3">
      <x:c r="A3"/>
      <x:c r="B3"/>
      <x:c r="C3"/>
      <x:c r="D3"/>
      <x:c r="E3"/>
      <x:c r="F3"/>
      <x:c r="G3"/>
      <x:c r="H3"/>
      <x:c r="I3"/>
      <x:c r="J3"/>
      <x:c r="K3"/>
      <x:c r="L3"/>
      <x:c r="M3"/>
      <x:c r="N3"/>
      <x:c r="O3"/>
      <x:c r="P3"/>
      <x:c r="Q3"/>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Editor/Codex note</x:v>
      </x:c>
    </x:row>
    <x:row r="5">
      <x:c r="A5" s="22" t="str">
        <x:v>A-PILLAR</x:v>
      </x:c>
      <x:c r="B5" s="22" t="str">
        <x:v>Existing pillar</x:v>
      </x:c>
      <x:c r="C5" s="22" t="str">
        <x:v>SEO Title</x:v>
      </x:c>
      <x:c xmlns:x="http://schemas.openxmlformats.org/spreadsheetml/2006/main" r="D5" s="22" t="str">
        <x:v>Hướng dẫn mở tài khoản MB Bank online</x:v>
      </x:c>
      <x:c r="E5" s="22" t="str">
        <x:v>177 Account/Generic seeds</x:v>
      </x:c>
      <x:c r="F5" s="22" t="str">
        <x:v>Own account intent</x:v>
      </x:c>
      <x:c r="G5" s="22" t="str">
        <x:v>Online/App + account entity</x:v>
      </x:c>
      <x:c r="H5" s="22" t="str">
        <x:v>Không thêm reward claim vào title</x:v>
      </x:c>
      <x:c r="I5" s="22" t="str">
        <x:v>Task-led title</x:v>
      </x:c>
      <x:c r="J5" s="22" t="str">
        <x:v>SERP</x:v>
      </x:c>
      <x:c r="K5" s="22" t="str">
        <x:v>Acquisition</x:v>
      </x:c>
      <x:c r="L5" s="22" t="str">
        <x:v>R-PILLAR, A-ERRORS, C-PILLAR</x:v>
      </x:c>
      <x:c r="M5" s="22" t="str">
        <x:v>MB account official</x:v>
      </x:c>
      <x:c r="N5" s="22" t="str">
        <x:v>Current flow</x:v>
      </x:c>
      <x:c r="O5" s="22" t="str">
        <x:v>P0</x:v>
      </x:c>
      <x:c r="P5" s="22" t="str">
        <x:v>Keep URL</x:v>
      </x:c>
      <x:c xmlns:x="http://schemas.openxmlformats.org/spreadsheetml/2006/main" r="Q5" s="22" t="str">
        <x:v>Giữ URL và tiêu đề chủ website đã chốt, online ở cuối.</x:v>
      </x:c>
    </x:row>
    <x:row r="6">
      <x:c r="A6" s="22" t="str">
        <x:v>A-PILLAR</x:v>
      </x:c>
      <x:c r="B6" s="22" t="str">
        <x:v>Existing pillar</x:v>
      </x:c>
      <x:c r="C6" s="22" t="str">
        <x:v>H1</x:v>
      </x:c>
      <x:c xmlns:x="http://schemas.openxmlformats.org/spreadsheetml/2006/main" r="D6" s="22" t="str">
        <x:v>Hướng dẫn mở tài khoản MB Bank online</x:v>
      </x:c>
      <x:c r="E6" s="22" t="str">
        <x:v>Account + affiliate</x:v>
      </x:c>
      <x:c r="F6" s="22" t="str">
        <x:v>Combine search + conversion</x:v>
      </x:c>
      <x:c r="G6" s="22" t="str">
        <x:v>Account, App, conditions, referral bridge</x:v>
      </x:c>
      <x:c r="H6" s="22" t="str">
        <x:v>Không keyword stuffing</x:v>
      </x:c>
      <x:c r="I6" s="22" t="str">
        <x:v>Answer-first</x:v>
      </x:c>
      <x:c r="J6" s="22" t="str">
        <x:v>Above fold</x:v>
      </x:c>
      <x:c r="K6" s="22" t="str">
        <x:v>Acquisition → referral</x:v>
      </x:c>
      <x:c r="L6" s="22" t="str">
        <x:v>R-PILLAR</x:v>
      </x:c>
      <x:c r="M6" s="22" t="str">
        <x:v>MB + owned affiliate</x:v>
      </x:c>
      <x:c r="N6" s="22" t="str">
        <x:v>MBAT113/current flow</x:v>
      </x:c>
      <x:c r="O6" s="22" t="str">
        <x:v>P0</x:v>
      </x:c>
      <x:c r="P6" s="22" t="str">
        <x:v>Required</x:v>
      </x:c>
      <x:c r="Q6" s="22" t="str">
        <x:v>Use MBAT113 only.</x:v>
      </x:c>
    </x:row>
    <x:row r="7">
      <x:c r="A7" s="22" t="str">
        <x:v>A-PILLAR</x:v>
      </x:c>
      <x:c r="B7" s="22" t="str">
        <x:v>Existing pillar</x:v>
      </x:c>
      <x:c r="C7" s="22" t="str">
        <x:v>H3</x:v>
      </x:c>
      <x:c r="D7" s="22" t="str">
        <x:v>Mã giới thiệu MBAT113 nhập ở đâu trong quá trình đăng ký?</x:v>
      </x:c>
      <x:c r="E7" s="22" t="str">
        <x:v>Referral bridge</x:v>
      </x:c>
      <x:c r="F7" s="22" t="str">
        <x:v>Move user to R</x:v>
      </x:c>
      <x:c r="G7" s="22" t="str">
        <x:v>MBAT113 + link/code + disclosure</x:v>
      </x:c>
      <x:c r="H7" s="22" t="str">
        <x:v>Không hứa reward</x:v>
      </x:c>
      <x:c r="I7" s="22" t="str">
        <x:v>Short direct answer</x:v>
      </x:c>
      <x:c r="J7" s="22" t="str">
        <x:v>Inside flow</x:v>
      </x:c>
      <x:c r="K7" s="22" t="str">
        <x:v>Primary conversion</x:v>
      </x:c>
      <x:c r="L7" s="22" t="str">
        <x:v>R-PILLAR</x:v>
      </x:c>
      <x:c r="M7" s="22" t="str">
        <x:v>Current App + owned setup</x:v>
      </x:c>
      <x:c r="N7" s="22" t="str">
        <x:v>Exact current flow</x:v>
      </x:c>
      <x:c r="O7" s="22" t="str">
        <x:v>P0</x:v>
      </x:c>
      <x:c r="P7" s="22" t="str">
        <x:v>Required</x:v>
      </x:c>
      <x:c r="Q7" s="22" t="str">
        <x:v>Link referral pillar.</x:v>
      </x:c>
    </x:row>
    <x:row r="8">
      <x:c r="A8" s="22" t="str">
        <x:v>R-PILLAR</x:v>
      </x:c>
      <x:c r="B8" s="22" t="str">
        <x:v>New pillar</x:v>
      </x:c>
      <x:c r="C8" s="22" t="str">
        <x:v>SEO Title</x:v>
      </x:c>
      <x:c xmlns:x="http://schemas.openxmlformats.org/spreadsheetml/2006/main" r="D8" s="22" t="str">
        <x:v>Mã giới thiệu MB Bank MBAT113: Cách dùng khi đăng ký online</x:v>
      </x:c>
      <x:c r="E8" s="22" t="str">
        <x:v>Referral money intent</x:v>
      </x:c>
      <x:c r="F8" s="22" t="str">
        <x:v>Own code/link/where</x:v>
      </x:c>
      <x:c r="G8" s="22" t="str">
        <x:v>MBAT113 + how/where</x:v>
      </x:c>
      <x:c r="H8" s="22" t="str">
        <x:v>Không thêm unverified reward</x:v>
      </x:c>
      <x:c r="I8" s="22" t="str">
        <x:v>Direct title</x:v>
      </x:c>
      <x:c r="J8" s="22" t="str">
        <x:v>SERP</x:v>
      </x:c>
      <x:c r="K8" s="22" t="str">
        <x:v>Primary conversion</x:v>
      </x:c>
      <x:c r="L8" s="22" t="str">
        <x:v>A-PILLAR</x:v>
      </x:c>
      <x:c r="M8" s="22" t="str">
        <x:v>Current App + owned setup</x:v>
      </x:c>
      <x:c r="N8" s="22" t="str">
        <x:v>Current mechanics</x:v>
      </x:c>
      <x:c r="O8" s="22" t="str">
        <x:v>P0</x:v>
      </x:c>
      <x:c r="P8" s="22" t="str">
        <x:v>Publish</x:v>
      </x:c>
      <x:c xmlns:x="http://schemas.openxmlformats.org/spreadsheetml/2006/main" r="Q8" s="22" t="str">
        <x:v>Giữ tiêu đề kết thúc bằng online theo yêu cầu chủ website.</x:v>
      </x:c>
    </x:row>
    <x:row r="9">
      <x:c r="A9" s="22" t="str">
        <x:v>R-PILLAR</x:v>
      </x:c>
      <x:c r="B9" s="22" t="str">
        <x:v>New pillar</x:v>
      </x:c>
      <x:c r="C9" s="22" t="str">
        <x:v>H1</x:v>
      </x:c>
      <x:c xmlns:x="http://schemas.openxmlformats.org/spreadsheetml/2006/main" r="D9" s="22" t="str">
        <x:v>Mã giới thiệu MB Bank MBAT113: Cách dùng khi đăng ký online</x:v>
      </x:c>
      <x:c r="E9" s="22" t="str">
        <x:v>Referral + questions</x:v>
      </x:c>
      <x:c r="F9" s="22" t="str">
        <x:v>Cover conversion journey</x:v>
      </x:c>
      <x:c r="G9" s="22" t="str">
        <x:v>Code/link/mandatory/benefit/problems/safety</x:v>
      </x:c>
      <x:c r="H9" s="22" t="str">
        <x:v>Không quảng cáo quá mức</x:v>
      </x:c>
      <x:c r="I9" s="22" t="str">
        <x:v>Answer-first + source/date</x:v>
      </x:c>
      <x:c r="J9" s="22" t="str">
        <x:v>Above fold</x:v>
      </x:c>
      <x:c r="K9" s="22" t="str">
        <x:v>Primary conversion</x:v>
      </x:c>
      <x:c r="L9" s="22" t="str">
        <x:v>A-PILLAR, R-FORGOT, R-ATTR</x:v>
      </x:c>
      <x:c r="M9" s="22" t="str">
        <x:v>Current App + MB support</x:v>
      </x:c>
      <x:c r="N9" s="22" t="str">
        <x:v>Current flow</x:v>
      </x:c>
      <x:c r="O9" s="22" t="str">
        <x:v>P0</x:v>
      </x:c>
      <x:c r="P9" s="22" t="str">
        <x:v>Required</x:v>
      </x:c>
      <x:c xmlns:x="http://schemas.openxmlformats.org/spreadsheetml/2006/main" r="Q9" s="22" t="str">
        <x:v>Use MBAT113 only; link existing Account owner; unpublished support routes remain sections.</x:v>
      </x:c>
    </x:row>
    <x:row r="10">
      <x:c r="A10" s="22" t="str">
        <x:v>R-PILLAR</x:v>
      </x:c>
      <x:c r="B10" s="22" t="str">
        <x:v>New pillar</x:v>
      </x:c>
      <x:c r="C10" s="22" t="str">
        <x:v>Answer block</x:v>
      </x:c>
      <x:c xmlns:x="http://schemas.openxmlformats.org/spreadsheetml/2006/main" r="D10" s="22" t="str">
        <x:v>MBAT113 là mã giới thiệu được 1 Phút Đăng Ký sử dụng khi hướng dẫn đăng ký App MBBank. Bạn nhập mã vào phần thông tin người giới thiệu trong ứng dụng và kiểm tra lại trước khi hoàn tất đăng ký. Quyền lợi phụ thuộc thể lệ MB áp dụng cho lượt đăng ký của bạn.</x:v>
      </x:c>
      <x:c r="E10" s="22" t="str">
        <x:v>Referral definition</x:v>
      </x:c>
      <x:c r="F10" s="22" t="str">
        <x:v>Clarify code + volatility</x:v>
      </x:c>
      <x:c r="G10" s="22" t="str">
        <x:v>Ownership/disclosure/current flow</x:v>
      </x:c>
      <x:c r="H10" s="22" t="str">
        <x:v>Không gọi là mã giảm giá; không hứa reward</x:v>
      </x:c>
      <x:c r="I10" s="22" t="str">
        <x:v>2–4 standalone sentences</x:v>
      </x:c>
      <x:c r="J10" s="22" t="str">
        <x:v>Above fold</x:v>
      </x:c>
      <x:c r="K10" s="22" t="str">
        <x:v>Referral click</x:v>
      </x:c>
      <x:c r="L10" s="22" t="str">
        <x:v>A-PILLAR</x:v>
      </x:c>
      <x:c r="M10" s="22" t="str">
        <x:v>Owned setup + current App</x:v>
      </x:c>
      <x:c r="N10" s="22" t="str">
        <x:v>Link/code behavior</x:v>
      </x:c>
      <x:c r="O10" s="22" t="str">
        <x:v>P0</x:v>
      </x:c>
      <x:c r="P10" s="22" t="str">
        <x:v>Required</x:v>
      </x:c>
      <x:c xmlns:x="http://schemas.openxmlformats.org/spreadsheetml/2006/main" r="Q10" s="22" t="str">
        <x:v>Owned code setup + publicly published guide label; legacy guide not proof of fixed current App sequence. No autofill/reward promise.</x:v>
      </x:c>
    </x:row>
    <x:row r="11">
      <x:c r="A11" s="22" t="str">
        <x:v>R-PILLAR</x:v>
      </x:c>
      <x:c r="B11" s="22" t="str">
        <x:v>New pillar</x:v>
      </x:c>
      <x:c r="C11" s="22" t="str">
        <x:v>H2</x:v>
      </x:c>
      <x:c r="D11" s="22" t="str">
        <x:v>Nhập mã giới thiệu MBAT113 được gì?</x:v>
      </x:c>
      <x:c r="E11" s="22" t="str">
        <x:v>Benefit</x:v>
      </x:c>
      <x:c r="F11" s="22" t="str">
        <x:v>Commercial query safely</x:v>
      </x:c>
      <x:c r="G11" s="22" t="str">
        <x:v>Only current official benefit + dates/eligibility</x:v>
      </x:c>
      <x:c r="H11" s="22" t="str">
        <x:v>Không copy 30K/50K từ third-party</x:v>
      </x:c>
      <x:c r="I11" s="22" t="str">
        <x:v>Status box + checked date</x:v>
      </x:c>
      <x:c r="J11" s="22" t="str">
        <x:v>Mid-page</x:v>
      </x:c>
      <x:c r="K11" s="22" t="str">
        <x:v>Reassurance</x:v>
      </x:c>
      <x:c r="L11" s="22" t="str">
        <x:v>None</x:v>
      </x:c>
      <x:c r="M11" s="22" t="str">
        <x:v>Official current terms</x:v>
      </x:c>
      <x:c r="N11" s="22" t="str">
        <x:v>Reward/eligibility</x:v>
      </x:c>
      <x:c r="O11" s="22" t="str">
        <x:v>P0</x:v>
      </x:c>
      <x:c r="P11" s="22" t="str">
        <x:v>Neutral if unverified</x:v>
      </x:c>
      <x:c r="Q11" s="22" t="str">
        <x:v>Dynamic.</x:v>
      </x:c>
    </x:row>
    <x:row r="12">
      <x:c r="A12" s="22" t="str">
        <x:v>A-ERRORS</x:v>
      </x:c>
      <x:c r="B12" s="22" t="str">
        <x:v>Support hub</x:v>
      </x:c>
      <x:c r="C12" s="22" t="str">
        <x:v>SEO Title</x:v>
      </x:c>
      <x:c xmlns:x="http://schemas.openxmlformats.org/spreadsheetml/2006/main" r="D12" s="22" t="str">
        <x:v>Không đăng ký được MB Bank: Cách xử lý lỗi online</x:v>
      </x:c>
      <x:c r="E12" s="22" t="str">
        <x:v>Error umbrella</x:v>
      </x:c>
      <x:c r="F12" s="22" t="str">
        <x:v>Own broad troubleshooting</x:v>
      </x:c>
      <x:c r="G12" s="22" t="str">
        <x:v>OTP/eKYC/NFC/info exists/app</x:v>
      </x:c>
      <x:c r="H12" s="22" t="str">
        <x:v>Không tạo thin error pages</x:v>
      </x:c>
      <x:c r="I12" s="22" t="str">
        <x:v>Stage-based hub</x:v>
      </x:c>
      <x:c r="J12" s="22" t="str">
        <x:v>SERP</x:v>
      </x:c>
      <x:c r="K12" s="22" t="str">
        <x:v>Task completion</x:v>
      </x:c>
      <x:c r="L12" s="22" t="str">
        <x:v>A-PILLAR, A-NFC, R-PILLAR</x:v>
      </x:c>
      <x:c r="M12" s="22" t="str">
        <x:v>MB247/current App</x:v>
      </x:c>
      <x:c r="N12" s="22" t="str">
        <x:v>Current flow</x:v>
      </x:c>
      <x:c r="O12" s="22" t="str">
        <x:v>P0</x:v>
      </x:c>
      <x:c r="P12" s="22" t="str">
        <x:v>Publish</x:v>
      </x:c>
      <x:c xmlns:x="http://schemas.openxmlformats.org/spreadsheetml/2006/main" r="Q12" s="22" t="str">
        <x:v>Title ends online per owner. No unsupported numeric error mapping or exact current App screen flow. Existing reusable body CTA/disclosure after solutions and MB247; no shared component change.</x:v>
      </x:c>
    </x:row>
    <x:row r="13">
      <x:c r="A13" s="22" t="str">
        <x:v>A-NEED</x:v>
      </x:c>
      <x:c r="B13" s="22" t="str">
        <x:v>Support</x:v>
      </x:c>
      <x:c r="C13" s="22" t="str">
        <x:v>SEO Title</x:v>
      </x:c>
      <x:c xmlns:x="http://schemas.openxmlformats.org/spreadsheetml/2006/main" r="D13" s="22" t="str">
        <x:v>Mở tài khoản MB Bank cần gì? Chuẩn bị để đăng ký online</x:v>
      </x:c>
      <x:c r="E13" s="22" t="str">
        <x:v>Preparation</x:v>
      </x:c>
      <x:c r="F13" s="22" t="str">
        <x:v>Pre-action qualification</x:v>
      </x:c>
      <x:c r="G13" s="22" t="str">
        <x:v>Eligibility/docs/device/phone</x:v>
      </x:c>
      <x:c r="H13" s="22" t="str">
        <x:v>Không duplicate full how-to</x:v>
      </x:c>
      <x:c r="I13" s="22" t="str">
        <x:v>Checklist</x:v>
      </x:c>
      <x:c r="J13" s="22" t="str">
        <x:v>SERP</x:v>
      </x:c>
      <x:c r="K13" s="22" t="str">
        <x:v>Qualification</x:v>
      </x:c>
      <x:c r="L13" s="22" t="str">
        <x:v>A-PILLAR, A-AGE, A-NFC, R-PILLAR</x:v>
      </x:c>
      <x:c r="M13" s="22" t="str">
        <x:v>MB official account</x:v>
      </x:c>
      <x:c r="N13" s="22" t="str">
        <x:v>Current requirements</x:v>
      </x:c>
      <x:c r="O13" s="22" t="str">
        <x:v>P1</x:v>
      </x:c>
      <x:c r="P13" s="22" t="str">
        <x:v>Publish</x:v>
      </x:c>
      <x:c xmlns:x="http://schemas.openxmlformats.org/spreadsheetml/2006/main" r="Q13" s="22" t="str">
        <x:v>Title ends online. Own pre-registration readiness; brief Art11/16 eligibility, documents and device checks. Account/Referral internal links after answer; no top product card/sticky, no separate cover, no fixed App screens or cross-device OTP guarantee.</x:v>
      </x:c>
    </x:row>
    <x:row r="14">
      <x:c r="A14" s="22" t="str">
        <x:v>A-AGE</x:v>
      </x:c>
      <x:c r="B14" s="22" t="str">
        <x:v>Support</x:v>
      </x:c>
      <x:c r="C14" s="22" t="str">
        <x:v>SEO Title</x:v>
      </x:c>
      <x:c r="D14" s="22" t="str">
        <x:v>Bao nhiêu tuổi được mở tài khoản MB Bank? Điều kiện theo độ tuổi</x:v>
      </x:c>
      <x:c r="E14" s="22" t="str">
        <x:v>Age eligibility</x:v>
      </x:c>
      <x:c r="F14" s="22" t="str">
        <x:v>Answer YMYL intent</x:v>
      </x:c>
      <x:c r="G14" s="22" t="str">
        <x:v>Age bands + channel + representative where applicable</x:v>
      </x:c>
      <x:c r="H14" s="22" t="str">
        <x:v>Không dùng threshold cũ</x:v>
      </x:c>
      <x:c r="I14" s="22" t="str">
        <x:v>Decision table</x:v>
      </x:c>
      <x:c r="J14" s="22" t="str">
        <x:v>SERP</x:v>
      </x:c>
      <x:c r="K14" s="22" t="str">
        <x:v>Qualification</x:v>
      </x:c>
      <x:c r="L14" s="22" t="str">
        <x:v>A-PILLAR, A-NEED</x:v>
      </x:c>
      <x:c r="M14" s="22" t="str">
        <x:v>MB + current regulation</x:v>
      </x:c>
      <x:c r="N14" s="22" t="str">
        <x:v>Current legal/app flow</x:v>
      </x:c>
      <x:c r="O14" s="22" t="str">
        <x:v>P1</x:v>
      </x:c>
      <x:c r="P14" s="22" t="str">
        <x:v>Publish after verification</x:v>
      </x:c>
      <x:c r="Q14" s="22" t="str">
        <x:v>Last-reviewed date.</x:v>
      </x:c>
    </x:row>
    <x:row r="15">
      <x:c r="A15" s="22" t="str">
        <x:v>A-NFC</x:v>
      </x:c>
      <x:c r="B15" s="22" t="str">
        <x:v>Support</x:v>
      </x:c>
      <x:c r="C15" s="22" t="str">
        <x:v>SEO Title</x:v>
      </x:c>
      <x:c r="D15" s="22" t="str">
        <x:v>Điện thoại không có NFC có mở MB Bank được không? Cách xử lý khi CCCD không đọc được chip</x:v>
      </x:c>
      <x:c r="E15" s="22" t="str">
        <x:v>Technical</x:v>
      </x:c>
      <x:c r="F15" s="22" t="str">
        <x:v>Own NFC/chip issue</x:v>
      </x:c>
      <x:c r="G15" s="22" t="str">
        <x:v>Purpose/checks/valid alternatives/support</x:v>
      </x:c>
      <x:c r="H15" s="22" t="str">
        <x:v>Không bypass eKYC/NFC</x:v>
      </x:c>
      <x:c r="I15" s="22" t="str">
        <x:v>Problem → safe next step</x:v>
      </x:c>
      <x:c r="J15" s="22" t="str">
        <x:v>SERP</x:v>
      </x:c>
      <x:c r="K15" s="22" t="str">
        <x:v>Task completion</x:v>
      </x:c>
      <x:c r="L15" s="22" t="str">
        <x:v>A-PILLAR, A-ERRORS</x:v>
      </x:c>
      <x:c r="M15" s="22" t="str">
        <x:v>Current App + MB247</x:v>
      </x:c>
      <x:c r="N15" s="22" t="str">
        <x:v>Current valid flow</x:v>
      </x:c>
      <x:c r="O15" s="22" t="str">
        <x:v>P1</x:v>
      </x:c>
      <x:c r="P15" s="22" t="str">
        <x:v>Publish after verification</x:v>
      </x:c>
      <x:c r="Q15" s="22" t="str">
        <x:v>Consolidated article.</x:v>
      </x:c>
    </x:row>
    <x:row r="16">
      <x:c r="A16" s="22" t="str">
        <x:v>C-PILLAR</x:v>
      </x:c>
      <x:c r="B16" s="22" t="str">
        <x:v>New pillar</x:v>
      </x:c>
      <x:c r="C16" s="22" t="str">
        <x:v>SEO Title</x:v>
      </x:c>
      <x:c r="D16" s="22" t="str">
        <x:v>Mở thẻ MB Bank online: Cách đăng ký và phát hành trên App MBBank</x:v>
      </x:c>
      <x:c r="E16" s="22" t="str">
        <x:v>34 card seeds</x:v>
      </x:c>
      <x:c r="F16" s="22" t="str">
        <x:v>Own card intent</x:v>
      </x:c>
      <x:c r="G16" s="22" t="str">
        <x:v>Card issue online + product distinction</x:v>
      </x:c>
      <x:c r="H16" s="22" t="str">
        <x:v>Không conflate card/account</x:v>
      </x:c>
      <x:c r="I16" s="22" t="str">
        <x:v>Task title</x:v>
      </x:c>
      <x:c r="J16" s="22" t="str">
        <x:v>SERP</x:v>
      </x:c>
      <x:c r="K16" s="22" t="str">
        <x:v>Product conversion</x:v>
      </x:c>
      <x:c r="L16" s="22" t="str">
        <x:v>A-PILLAR</x:v>
      </x:c>
      <x:c r="M16" s="22" t="str">
        <x:v>MB card issuance guide</x:v>
      </x:c>
      <x:c r="N16" s="22" t="str">
        <x:v>Current types/flow</x:v>
      </x:c>
      <x:c r="O16" s="22" t="str">
        <x:v>P1</x:v>
      </x:c>
      <x:c r="P16" s="22" t="str">
        <x:v>Publish</x:v>
      </x:c>
      <x:c r="Q16" s="22" t="str">
        <x:v>Card canonical.</x:v>
      </x:c>
    </x:row>
    <x:row r="17">
      <x:c r="A17" s="22"/>
      <x:c r="B17" s="22"/>
      <x:c r="C17" s="22"/>
      <x:c r="D17" s="22"/>
      <x:c r="E17" s="22"/>
      <x:c r="F17" s="22"/>
      <x:c r="G17" s="22"/>
      <x:c r="H17" s="22"/>
      <x:c r="I17" s="22"/>
      <x:c r="J17" s="22"/>
      <x:c r="K17" s="22"/>
      <x:c r="L17" s="22"/>
      <x:c r="M17" s="22"/>
      <x:c r="N17" s="22"/>
      <x:c r="O17" s="22"/>
      <x:c r="P17" s="22"/>
      <x:c r="Q17" s="22"/>
    </x:row>
    <x:row r="18">
      <x:c r="A18" s="22"/>
      <x:c r="B18" s="22"/>
      <x:c r="C18" s="22"/>
      <x:c r="D18" s="22"/>
      <x:c r="E18" s="22"/>
      <x:c r="F18" s="22"/>
      <x:c r="G18" s="22"/>
      <x:c r="H18" s="22"/>
      <x:c r="I18" s="22"/>
      <x:c r="J18" s="22"/>
      <x:c r="K18" s="22"/>
      <x:c r="L18" s="22"/>
      <x:c r="M18" s="22"/>
      <x:c r="N18" s="22"/>
      <x:c r="O18" s="22"/>
      <x:c r="P18" s="22"/>
      <x:c r="Q18" s="22"/>
    </x:row>
    <x:row r="19">
      <x:c r="A19" s="22"/>
      <x:c r="B19" s="22"/>
      <x:c r="C19" s="22"/>
      <x:c r="D19" s="22"/>
      <x:c r="E19" s="22"/>
      <x:c r="F19" s="22"/>
      <x:c r="G19" s="22"/>
      <x:c r="H19" s="22"/>
      <x:c r="I19" s="22"/>
      <x:c r="J19" s="22"/>
      <x:c r="K19" s="22"/>
      <x:c r="L19" s="22"/>
      <x:c r="M19" s="22"/>
      <x:c r="N19" s="22"/>
      <x:c r="O19" s="22"/>
      <x:c r="P19" s="22"/>
      <x:c r="Q19" s="22"/>
    </x:row>
    <x:row r="20">
      <x:c r="A20" s="22"/>
      <x:c r="B20" s="22"/>
      <x:c r="C20" s="22"/>
      <x:c r="D20" s="22"/>
      <x:c r="E20" s="22"/>
      <x:c r="F20" s="22"/>
      <x:c r="G20" s="22"/>
      <x:c r="H20" s="22"/>
      <x:c r="I20" s="22"/>
      <x:c r="J20" s="22"/>
      <x:c r="K20" s="22"/>
      <x:c r="L20" s="22"/>
      <x:c r="M20" s="22"/>
      <x:c r="N20" s="22"/>
      <x:c r="O20" s="22"/>
      <x:c r="P20" s="22"/>
      <x:c r="Q20" s="22"/>
    </x:row>
    <x:row r="21">
      <x:c r="A21" s="22"/>
      <x:c r="B21" s="22"/>
      <x:c r="C21" s="22"/>
      <x:c r="D21" s="22"/>
      <x:c r="E21" s="22"/>
      <x:c r="F21" s="22"/>
      <x:c r="G21" s="22"/>
      <x:c r="H21" s="22"/>
      <x:c r="I21" s="22"/>
      <x:c r="J21" s="22"/>
      <x:c r="K21" s="22"/>
      <x:c r="L21" s="22"/>
      <x:c r="M21" s="22"/>
      <x:c r="N21" s="22"/>
      <x:c r="O21" s="22"/>
      <x:c r="P21" s="22"/>
      <x:c r="Q21" s="22"/>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33f8cdad48cc4ab7"/>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AFFILIATE CTA MATRIX – MBAT113</x:v>
      </x:c>
      <x:c r="B1" s="28"/>
      <x:c r="C1" s="28"/>
      <x:c r="D1" s="28"/>
      <x:c r="E1" s="28"/>
      <x:c r="F1" s="28"/>
      <x:c r="G1" s="28"/>
      <x:c r="H1" s="28"/>
      <x:c r="I1" s="28"/>
      <x:c r="J1" s="28"/>
      <x:c r="K1" s="28"/>
      <x:c r="L1" s="28"/>
      <x:c r="M1" s="28"/>
    </x:row>
    <x:row r="2">
      <x:c r="A2" s="12" t="str">
        <x:v>CTA strength follows intent. MBAT113 is the only affiliate code used in this engine.</x:v>
      </x:c>
      <x:c r="B2" s="12"/>
      <x:c r="C2" s="12"/>
      <x:c r="D2" s="12"/>
      <x:c r="E2" s="12"/>
      <x:c r="F2" s="12"/>
      <x:c r="G2" s="12"/>
      <x:c r="H2" s="12"/>
      <x:c r="I2" s="12"/>
      <x:c r="J2" s="12"/>
      <x:c r="K2" s="12"/>
      <x:c r="L2" s="12"/>
      <x:c r="M2" s="12"/>
    </x:row>
    <x:row r="3">
      <x:c r="A3"/>
      <x:c r="B3"/>
      <x:c r="C3"/>
      <x:c r="D3"/>
      <x:c r="E3"/>
      <x:c r="F3"/>
      <x:c r="G3"/>
      <x:c r="H3"/>
      <x:c r="I3"/>
      <x:c r="J3"/>
      <x:c r="K3"/>
      <x:c r="L3"/>
      <x:c r="M3"/>
    </x:row>
    <x:row r="4">
      <x:c r="A4" s="20" t="str">
        <x:v>Asset ID</x:v>
      </x:c>
      <x:c r="B4" s="20" t="str">
        <x:v>Intent temperature</x:v>
      </x:c>
      <x:c r="C4" s="20" t="str">
        <x:v>Primary CTA</x:v>
      </x:c>
      <x:c r="D4" s="20" t="str">
        <x:v>Secondary CTA</x:v>
      </x:c>
      <x:c r="E4" s="20" t="str">
        <x:v>MBAT113 visibility</x:v>
      </x:c>
      <x:c r="F4" s="20" t="str">
        <x:v>Referral link visibility</x:v>
      </x:c>
      <x:c r="G4" s="20" t="str">
        <x:v>Disclosure position</x:v>
      </x:c>
      <x:c r="H4" s="20" t="str">
        <x:v>Placement 1</x:v>
      </x:c>
      <x:c r="I4" s="20" t="str">
        <x:v>Placement 2</x:v>
      </x:c>
      <x:c r="J4" s="20" t="str">
        <x:v>Avoid</x:v>
      </x:c>
      <x:c r="K4" s="20" t="str">
        <x:v>Tracking event</x:v>
      </x:c>
      <x:c r="L4" s="20" t="str">
        <x:v>Primary KPI</x:v>
      </x:c>
      <x:c r="M4" s="20" t="str">
        <x:v>Notes</x:v>
      </x:c>
    </x:row>
    <x:row r="5">
      <x:c r="A5" s="22" t="str">
        <x:v>A-PILLAR</x:v>
      </x:c>
      <x:c r="B5" s="22" t="str">
        <x:v>Hot</x:v>
      </x:c>
      <x:c xmlns:x="http://schemas.openxmlformats.org/spreadsheetml/2006/main" r="C5" s="22" t="str">
        <x:v>Mở App MBBank</x:v>
      </x:c>
      <x:c xmlns:x="http://schemas.openxmlformats.org/spreadsheetml/2006/main" r="D5" s="22" t="str">
        <x:v>Xem cách dùng mã MBAT113 tại /mo-tai-khoan/ma-gioi-thieu-mb-bank/</x:v>
      </x:c>
      <x:c r="E5" s="22" t="str">
        <x:v>High</x:v>
      </x:c>
      <x:c r="F5" s="22" t="str">
        <x:v>High</x:v>
      </x:c>
      <x:c r="G5" s="22" t="str">
        <x:v>Gần CTA đầu</x:v>
      </x:c>
      <x:c r="H5" s="22" t="str">
        <x:v>Above fold after answer</x:v>
      </x:c>
      <x:c r="I5" s="22" t="str">
        <x:v>Inside registration flow</x:v>
      </x:c>
      <x:c r="J5" s="22" t="str">
        <x:v>Không hứa reward</x:v>
      </x:c>
      <x:c xmlns:x="http://schemas.openxmlformats.org/spreadsheetml/2006/main" r="K5" s="22" t="str">
        <x:v>affiliate_click; referral_code_copy (existing consent-aware events)</x:v>
      </x:c>
      <x:c r="L5" s="22" t="str">
        <x:v>CTA → outbound</x:v>
      </x:c>
      <x:c r="M5" s="22" t="str">
        <x:v>Acquisition with strong referral bridge.</x:v>
      </x:c>
    </x:row>
    <x:row r="6">
      <x:c r="A6" s="22" t="str">
        <x:v>R-PILLAR</x:v>
      </x:c>
      <x:c r="B6" s="22" t="str">
        <x:v>Very hot</x:v>
      </x:c>
      <x:c xmlns:x="http://schemas.openxmlformats.org/spreadsheetml/2006/main" r="C6" s="22" t="str">
        <x:v>Mở App MBBank</x:v>
      </x:c>
      <x:c r="D6" s="22" t="str">
        <x:v>Xem hướng dẫn mở tài khoản</x:v>
      </x:c>
      <x:c r="E6" s="22" t="str">
        <x:v>Very High</x:v>
      </x:c>
      <x:c r="F6" s="22" t="str">
        <x:v>Very High</x:v>
      </x:c>
      <x:c r="G6" s="22" t="str">
        <x:v>Trước CTA đầu + cuối bài</x:v>
      </x:c>
      <x:c r="H6" s="22" t="str">
        <x:v>Above fold</x:v>
      </x:c>
      <x:c r="I6" s="22" t="str">
        <x:v>After where-to-enter</x:v>
      </x:c>
      <x:c r="J6" s="22" t="str">
        <x:v>Không urgency giả / reward unverified</x:v>
      </x:c>
      <x:c xmlns:x="http://schemas.openxmlformats.org/spreadsheetml/2006/main" r="K6" s="22" t="str">
        <x:v>affiliate_click; referral_code_copy (existing consent-aware events)</x:v>
      </x:c>
      <x:c r="L6" s="22" t="str">
        <x:v>Outbound / conversion</x:v>
      </x:c>
      <x:c r="M6" s="22" t="str">
        <x:v>Primary money page.</x:v>
      </x:c>
    </x:row>
    <x:row r="7">
      <x:c r="A7" s="22" t="str">
        <x:v>R-FORGOT</x:v>
      </x:c>
      <x:c r="B7" s="22" t="str">
        <x:v>Hot/problem</x:v>
      </x:c>
      <x:c r="C7" s="22" t="str">
        <x:v>Kiểm tra trạng thái / MB247 nếu cần</x:v>
      </x:c>
      <x:c r="D7" s="22" t="str">
        <x:v>Quay lại hướng dẫn MBAT113</x:v>
      </x:c>
      <x:c r="E7" s="22" t="str">
        <x:v>Medium</x:v>
      </x:c>
      <x:c r="F7" s="22" t="str">
        <x:v>Medium</x:v>
      </x:c>
      <x:c r="G7" s="22" t="str">
        <x:v>Near referral CTA</x:v>
      </x:c>
      <x:c r="H7" s="22" t="str">
        <x:v>After direct answer</x:v>
      </x:c>
      <x:c r="I7" s="22" t="str">
        <x:v>End</x:v>
      </x:c>
      <x:c r="J7" s="22" t="str">
        <x:v>Không dẫn tạo account mới để sửa attribution</x:v>
      </x:c>
      <x:c r="K7" s="22" t="str">
        <x:v>mb_referral_recovery</x:v>
      </x:c>
      <x:c r="L7" s="22" t="str">
        <x:v>Assisted recovery</x:v>
      </x:c>
      <x:c r="M7" s="22" t="str">
        <x:v>Support-first.</x:v>
      </x:c>
    </x:row>
    <x:row r="8">
      <x:c r="A8" s="22" t="str">
        <x:v>R-ATTR</x:v>
      </x:c>
      <x:c r="B8" s="22" t="str">
        <x:v>Hot/post</x:v>
      </x:c>
      <x:c r="C8" s="22" t="str">
        <x:v>Kiểm tra điều kiện/chương trình + MB247</x:v>
      </x:c>
      <x:c r="D8" s="22" t="str">
        <x:v>Xem lại MBAT113</x:v>
      </x:c>
      <x:c r="E8" s="22" t="str">
        <x:v>Low-Medium</x:v>
      </x:c>
      <x:c r="F8" s="22" t="str">
        <x:v>Low-Medium</x:v>
      </x:c>
      <x:c r="G8" s="22" t="str">
        <x:v>Near explanation</x:v>
      </x:c>
      <x:c r="H8" s="22" t="str">
        <x:v>After checklist</x:v>
      </x:c>
      <x:c r="I8" s="22" t="str">
        <x:v>End</x:v>
      </x:c>
      <x:c r="J8" s="22" t="str">
        <x:v>Không push đăng ký lại</x:v>
      </x:c>
      <x:c r="K8" s="22" t="str">
        <x:v>mb_referral_support</x:v>
      </x:c>
      <x:c r="L8" s="22" t="str">
        <x:v>Support resolution</x:v>
      </x:c>
      <x:c r="M8" s="22" t="str">
        <x:v>Post-conversion.</x:v>
      </x:c>
    </x:row>
    <x:row r="9">
      <x:c r="A9" s="22" t="str">
        <x:v>A-ERRORS</x:v>
      </x:c>
      <x:c r="B9" s="22" t="str">
        <x:v>Hot/problem</x:v>
      </x:c>
      <x:c xmlns:x="http://schemas.openxmlformats.org/spreadsheetml/2006/main" r="C9" s="22" t="str">
        <x:v>Mở App MBBank (after solutions and MB247)</x:v>
      </x:c>
      <x:c xmlns:x="http://schemas.openxmlformats.org/spreadsheetml/2006/main" r="D9" s="22" t="str">
        <x:v>Contextual link to /mo-tai-khoan/ma-gioi-thieu-mb-bank/ for referral-specific issues</x:v>
      </x:c>
      <x:c r="E9" s="22" t="str">
        <x:v>Low-Medium</x:v>
      </x:c>
      <x:c r="F9" s="22" t="str">
        <x:v>Medium if relevant</x:v>
      </x:c>
      <x:c r="G9" s="22" t="str">
        <x:v>Near referral CTA</x:v>
      </x:c>
      <x:c r="H9" s="22" t="str">
        <x:v>After resolved path</x:v>
      </x:c>
      <x:c r="I9" s="22" t="str">
        <x:v>End</x:v>
      </x:c>
      <x:c r="J9" s="22" t="str">
        <x:v>Không sales-first</x:v>
      </x:c>
      <x:c xmlns:x="http://schemas.openxmlformats.org/spreadsheetml/2006/main" r="K9" s="22" t="str">
        <x:v>affiliate_click (existing consent-aware event), position article-recovery</x:v>
      </x:c>
      <x:c r="L9" s="22" t="str">
        <x:v>Assisted conversion</x:v>
      </x:c>
      <x:c xmlns:x="http://schemas.openxmlformats.org/spreadsheetml/2006/main" r="M9" s="22" t="str">
        <x:v>Support-first knowledge article; products[] empty and auto affiliate layout off. Shared AffiliateDisclosure + AffiliateCTA explicitly rendered once at end.</x:v>
      </x:c>
    </x:row>
    <x:row r="10">
      <x:c r="A10" s="22" t="str">
        <x:v>A-NEED</x:v>
      </x:c>
      <x:c r="B10" s="22" t="str">
        <x:v>Warm</x:v>
      </x:c>
      <x:c xmlns:x="http://schemas.openxmlformats.org/spreadsheetml/2006/main" r="C10" s="22" t="str">
        <x:v>Xem hướng dẫn mở tài khoản MB Bank</x:v>
      </x:c>
      <x:c xmlns:x="http://schemas.openxmlformats.org/spreadsheetml/2006/main" r="D10" s="22" t="str">
        <x:v>Xem cách dùng mã giới thiệu MBAT113</x:v>
      </x:c>
      <x:c r="E10" s="22" t="str">
        <x:v>Medium</x:v>
      </x:c>
      <x:c r="F10" s="22" t="str">
        <x:v>Medium</x:v>
      </x:c>
      <x:c r="G10" s="22" t="str">
        <x:v>Before CTA</x:v>
      </x:c>
      <x:c r="H10" s="22" t="str">
        <x:v>After checklist</x:v>
      </x:c>
      <x:c r="I10" s="22" t="str">
        <x:v>End</x:v>
      </x:c>
      <x:c r="J10" s="22" t="str">
        <x:v>Không nhồi CTA</x:v>
      </x:c>
      <x:c xmlns:x="http://schemas.openxmlformats.org/spreadsheetml/2006/main" r="K10" s="22" t="str">
        <x:v>Existing consent-aware page_view; native internal links, no new click-event types</x:v>
      </x:c>
      <x:c r="L10" s="22" t="str">
        <x:v>Qualified click</x:v>
      </x:c>
      <x:c xmlns:x="http://schemas.openxmlformats.org/spreadsheetml/2006/main" r="M10" s="22" t="str">
        <x:v>Preparation article: one internal Account button after checklist/qualification at end, contextual Referral link. products[] empty; no auto product card/sticky or direct affiliate action.</x:v>
      </x:c>
    </x:row>
    <x:row r="11">
      <x:c r="A11" s="22" t="str">
        <x:v>A-AGE</x:v>
      </x:c>
      <x:c r="B11" s="22" t="str">
        <x:v>Warm</x:v>
      </x:c>
      <x:c r="C11" s="22" t="str">
        <x:v>Nếu đủ điều kiện: xem cách mở tài khoản</x:v>
      </x:c>
      <x:c r="D11" s="22" t="str">
        <x:v>Xem checklist cần chuẩn bị</x:v>
      </x:c>
      <x:c r="E11" s="22" t="str">
        <x:v>Low</x:v>
      </x:c>
      <x:c r="F11" s="22" t="str">
        <x:v>Low-Medium</x:v>
      </x:c>
      <x:c r="G11" s="22" t="str">
        <x:v>Near CTA</x:v>
      </x:c>
      <x:c r="H11" s="22" t="str">
        <x:v>After age table</x:v>
      </x:c>
      <x:c r="I11" s="22" t="str">
        <x:v>End</x:v>
      </x:c>
      <x:c r="J11" s="22" t="str">
        <x:v>Không push user chưa đủ điều kiện</x:v>
      </x:c>
      <x:c r="K11" s="22" t="str">
        <x:v>mb_age_to_account</x:v>
      </x:c>
      <x:c r="L11" s="22" t="str">
        <x:v>Qualified click</x:v>
      </x:c>
      <x:c r="M11" s="22" t="str">
        <x:v>Eligibility first.</x:v>
      </x:c>
    </x:row>
    <x:row r="12">
      <x:c r="A12" s="22" t="str">
        <x:v>A-NFC</x:v>
      </x:c>
      <x:c r="B12" s="22" t="str">
        <x:v>Hot/problem</x:v>
      </x:c>
      <x:c r="C12" s="22" t="str">
        <x:v>Quay lại quy trình sau khi xử lý</x:v>
      </x:c>
      <x:c r="D12" s="22" t="str">
        <x:v>Liên hệ MB247 nếu cần</x:v>
      </x:c>
      <x:c r="E12" s="22" t="str">
        <x:v>Low</x:v>
      </x:c>
      <x:c r="F12" s="22" t="str">
        <x:v>Low</x:v>
      </x:c>
      <x:c r="G12" s="22" t="str">
        <x:v>Not central</x:v>
      </x:c>
      <x:c r="H12" s="22" t="str">
        <x:v>After solution</x:v>
      </x:c>
      <x:c r="I12" s="22" t="str">
        <x:v>End</x:v>
      </x:c>
      <x:c r="J12" s="22" t="str">
        <x:v>Không bypass identity verification</x:v>
      </x:c>
      <x:c r="K12" s="22" t="str">
        <x:v>mb_nfc_resolved</x:v>
      </x:c>
      <x:c r="L12" s="22" t="str">
        <x:v>Recovery click</x:v>
      </x:c>
      <x:c r="M12" s="22" t="str">
        <x:v>Technical support.</x:v>
      </x:c>
    </x:row>
    <x:row r="13">
      <x:c r="A13" s="22" t="str">
        <x:v>C-PILLAR</x:v>
      </x:c>
      <x:c r="B13" s="22" t="str">
        <x:v>Hot</x:v>
      </x:c>
      <x:c r="C13" s="22" t="str">
        <x:v>Xem cách đăng ký/phát hành thẻ MB</x:v>
      </x:c>
      <x:c r="D13" s="22" t="str">
        <x:v>Nếu chưa có tài khoản: mở tài khoản MB</x:v>
      </x:c>
      <x:c r="E13" s="22" t="str">
        <x:v>Low-Medium</x:v>
      </x:c>
      <x:c r="F13" s="22" t="str">
        <x:v>Medium on account bridge</x:v>
      </x:c>
      <x:c r="G13" s="22" t="str">
        <x:v>Near account CTA</x:v>
      </x:c>
      <x:c r="H13" s="22" t="str">
        <x:v>Above fold after answer</x:v>
      </x:c>
      <x:c r="I13" s="22" t="str">
        <x:v>Before FAQ</x:v>
      </x:c>
      <x:c r="J13" s="22" t="str">
        <x:v>Không làm lệch card intent</x:v>
      </x:c>
      <x:c r="K13" s="22" t="str">
        <x:v>cta_mb_card; mb_card_to_account</x:v>
      </x:c>
      <x:c r="L13" s="22" t="str">
        <x:v>Card / assist</x:v>
      </x:c>
      <x:c r="M13" s="22" t="str">
        <x:v>Card product page.</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PUBLISH SOURCE MATRIX – MB BANK</x:v>
      </x:c>
      <x:c r="B1" s="28"/>
      <x:c r="C1" s="28"/>
      <x:c r="D1" s="28"/>
      <x:c r="E1" s="28"/>
      <x:c r="F1" s="28"/>
      <x:c r="G1" s="28"/>
      <x:c r="H1" s="28"/>
      <x:c r="I1" s="28"/>
      <x:c r="J1" s="28"/>
      <x:c r="K1" s="28"/>
      <x:c r="L1" s="28"/>
    </x:row>
    <x:row r="2">
      <x:c r="A2" s="42" t="str">
        <x:v>Official/current sources for claims. Third-party SERP is discovery only, not proof for fees, conditions or rewards.</x:v>
      </x:c>
      <x:c r="B2" s="42"/>
      <x:c r="C2" s="42"/>
      <x:c r="D2" s="42"/>
      <x:c r="E2" s="42"/>
      <x:c r="F2" s="42"/>
      <x:c r="G2" s="42"/>
      <x:c r="H2" s="42"/>
      <x:c r="I2" s="42"/>
      <x:c r="J2" s="42"/>
      <x:c r="K2" s="42"/>
      <x:c r="L2" s="42"/>
    </x:row>
    <x:row r="3">
      <x:c r="A3"/>
      <x:c r="B3"/>
      <x:c r="C3"/>
      <x:c r="D3"/>
      <x:c r="E3"/>
      <x:c r="F3"/>
      <x:c r="G3"/>
      <x:c r="H3"/>
      <x:c r="I3"/>
      <x:c r="J3"/>
      <x:c r="K3"/>
      <x:c r="L3"/>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Last checked</x:v>
      </x:c>
      <x:c r="J4" s="20" t="str">
        <x:v>Recheck trigger</x:v>
      </x:c>
      <x:c r="K4" s="20" t="str">
        <x:v>Publish rule</x:v>
      </x:c>
      <x:c r="L4" s="20" t="str">
        <x:v>Notes</x:v>
      </x:c>
    </x:row>
    <x:row r="5">
      <x:c r="A5" s="22" t="str">
        <x:v>S1</x:v>
      </x:c>
      <x:c r="B5" s="22" t="str">
        <x:v>MB – Tài khoản thanh toán: điều kiện/cách mở</x:v>
      </x:c>
      <x:c r="C5" s="22" t="str">
        <x:v>https://www.mbbank.com.vn/chi-tiet/tin-mb/tai-khoan-thanh-toan-la-gi/7895</x:v>
      </x:c>
      <x:c r="D5" s="22" t="str">
        <x:v>Primary official</x:v>
      </x:c>
      <x:c r="E5" s="22" t="str">
        <x:v>Account entity; online channel; age/legal overview</x:v>
      </x:c>
      <x:c r="F5" s="22" t="str">
        <x:v>Referral reward/card-specific current fees</x:v>
      </x:c>
      <x:c r="G5" s="22" t="str">
        <x:v>A-PILLAR; A-NEED; A-AGE</x:v>
      </x:c>
      <x:c r="H5" s="22" t="str">
        <x:v>Medium</x:v>
      </x:c>
      <x:c xmlns:x="http://schemas.openxmlformats.org/spreadsheetml/2006/main" r="I5" s="22" t="str">
        <x:v>2026-10-29</x:v>
      </x:c>
      <x:c r="J5" s="22" t="str">
        <x:v>Before publish</x:v>
      </x:c>
      <x:c r="K5" s="22" t="str">
        <x:v>Required for account/age claims</x:v>
      </x:c>
      <x:c xmlns:x="http://schemas.openxmlformats.org/spreadsheetml/2006/main" r="L5" s="22" t="str">
        <x:v>2026-10-29: indexed official guide dated2026-10-12 available; direct request403/web404, access constraint not live verification. A-NEED eligibility/docs grounded in official NHNN21/VBHN-NHNN Art11/12/16, MB-owned live store listings and accessible eMB terms. Current App onboarding screens not tested. Recheck live provider sources before future age/flow claims.</x:v>
      </x:c>
    </x:row>
    <x:row r="6">
      <x:c r="A6" s="22" t="str">
        <x:v>S2</x:v>
      </x:c>
      <x:c r="B6" s="22" t="str">
        <x:v>MB247 – Trung tâm Dịch vụ khách hàng</x:v>
      </x:c>
      <x:c r="C6" s="22" t="str">
        <x:v>https://www.mbbank.com.vn/Contact</x:v>
      </x:c>
      <x:c r="D6" s="22" t="str">
        <x:v>Primary official</x:v>
      </x:c>
      <x:c r="E6" s="22" t="str">
        <x:v>Escalation; product/promo/service issues</x:v>
      </x:c>
      <x:c r="F6" s="22" t="str">
        <x:v>Specific reward amount without terms</x:v>
      </x:c>
      <x:c r="G6" s="22" t="str">
        <x:v>R; A-ERRORS; A-NFC</x:v>
      </x:c>
      <x:c r="H6" s="22" t="str">
        <x:v>Low</x:v>
      </x:c>
      <x:c xmlns:x="http://schemas.openxmlformats.org/spreadsheetml/2006/main" r="I6" s="22" t="str">
        <x:v>2026-10-29</x:v>
      </x:c>
      <x:c r="J6" s="22" t="str">
        <x:v>If support details change</x:v>
      </x:c>
      <x:c r="K6" s="22" t="str">
        <x:v>Required escalation source</x:v>
      </x:c>
      <x:c r="L6" s="22" t="str">
        <x:v>Use for unresolved cases.</x:v>
      </x:c>
    </x:row>
    <x:row r="7">
      <x:c r="A7" s="22" t="str">
        <x:v>S3</x:v>
      </x:c>
      <x:c r="B7" s="22" t="str">
        <x:v>MB – Hướng dẫn phát hành thẻ trên App</x:v>
      </x:c>
      <x:c r="C7" s="22" t="str">
        <x:v>https://www.mbbank.com.vn/26/1177/1281/Chi-tiet/huong-dan-dang-ky-va-phat-hanh-the-tren-app-mbbank-2021-1-15-14-3-43</x:v>
      </x:c>
      <x:c r="D7" s="22" t="str">
        <x:v>Primary official</x:v>
      </x:c>
      <x:c r="E7" s="22" t="str">
        <x:v>Card issuance/App</x:v>
      </x:c>
      <x:c r="F7" s="22" t="str">
        <x:v>All current fees/delivery unless separately verified</x:v>
      </x:c>
      <x:c r="G7" s="22" t="str">
        <x:v>C-PILLAR; C support</x:v>
      </x:c>
      <x:c r="H7" s="22" t="str">
        <x:v>Medium</x:v>
      </x:c>
      <x:c r="I7" s="22" t="str">
        <x:v>2026-10-27</x:v>
      </x:c>
      <x:c r="J7" s="22" t="str">
        <x:v>Before card publish</x:v>
      </x:c>
      <x:c r="K7" s="22" t="str">
        <x:v>Required for issuance claim</x:v>
      </x:c>
      <x:c r="L7" s="22" t="str">
        <x:v>Recheck current UI.</x:v>
      </x:c>
    </x:row>
    <x:row r="8">
      <x:c r="A8" s="22" t="str">
        <x:v>S4</x:v>
      </x:c>
      <x:c r="B8" s="22" t="str">
        <x:v>MB – Sản phẩm cá nhân</x:v>
      </x:c>
      <x:c r="C8" s="22" t="str">
        <x:v>https://www.mbbank.com.vn/26/26/san-pham/ca-nhan</x:v>
      </x:c>
      <x:c r="D8" s="22" t="str">
        <x:v>Primary official</x:v>
      </x:c>
      <x:c r="E8" s="22" t="str">
        <x:v>Current product taxonomy</x:v>
      </x:c>
      <x:c r="F8" s="22" t="str">
        <x:v>Referral reward</x:v>
      </x:c>
      <x:c r="G8" s="22" t="str">
        <x:v>Card/product content</x:v>
      </x:c>
      <x:c r="H8" s="22" t="str">
        <x:v>Medium</x:v>
      </x:c>
      <x:c r="I8" s="22" t="str">
        <x:v>2026-10-27</x:v>
      </x:c>
      <x:c r="J8" s="22" t="str">
        <x:v>Before product claims</x:v>
      </x:c>
      <x:c r="K8" s="22" t="str">
        <x:v>Use specific detail pages when possible</x:v>
      </x:c>
      <x:c r="L8" s="22" t="str">
        <x:v>Product owner.</x:v>
      </x:c>
    </x:row>
    <x:row r="9">
      <x:c r="A9" s="22" t="str">
        <x:v>S5</x:v>
      </x:c>
      <x:c r="B9" s="22" t="str">
        <x:v>MB – Official site</x:v>
      </x:c>
      <x:c r="C9" s="22" t="str">
        <x:v>https://www.mbbank.com.vn/</x:v>
      </x:c>
      <x:c r="D9" s="22" t="str">
        <x:v>Primary official</x:v>
      </x:c>
      <x:c r="E9" s="22" t="str">
        <x:v>Official channels/security context</x:v>
      </x:c>
      <x:c r="F9" s="22" t="str">
        <x:v>Specific fee/reward without linked terms</x:v>
      </x:c>
      <x:c r="G9" s="22" t="str">
        <x:v>All</x:v>
      </x:c>
      <x:c r="H9" s="22" t="str">
        <x:v>Medium</x:v>
      </x:c>
      <x:c xmlns:x="http://schemas.openxmlformats.org/spreadsheetml/2006/main" r="I9" s="22" t="str">
        <x:v>2026-10-28</x:v>
      </x:c>
      <x:c r="J9" s="22" t="str">
        <x:v>Before publish</x:v>
      </x:c>
      <x:c r="K9" s="22" t="str">
        <x:v>Supporting only</x:v>
      </x:c>
      <x:c r="L9" s="22" t="str">
        <x:v>Use specific source for claims.</x:v>
      </x:c>
    </x:row>
    <x:row r="10">
      <x:c r="A10" s="22" t="str">
        <x:v>S6</x:v>
      </x:c>
      <x:c r="B10" s="22" t="str">
        <x:v>Owned – Account Pillar</x:v>
      </x:c>
      <x:c r="C10" s="22" t="str">
        <x:v>https://1phutdangky.com/mo-tai-khoan/mo-tai-khoan-mb-bank-online/</x:v>
      </x:c>
      <x:c r="D10" s="22" t="str">
        <x:v>Owned</x:v>
      </x:c>
      <x:c r="E10" s="22" t="str">
        <x:v>Current implementation of MBAT113/disclosure/CTA</x:v>
      </x:c>
      <x:c r="F10" s="22" t="str">
        <x:v>Independent proof of MB reward</x:v>
      </x:c>
      <x:c r="G10" s="22" t="str">
        <x:v>A-PILLAR; R-PILLAR</x:v>
      </x:c>
      <x:c r="H10" s="22" t="str">
        <x:v>Medium</x:v>
      </x:c>
      <x:c xmlns:x="http://schemas.openxmlformats.org/spreadsheetml/2006/main" r="I10" s="22" t="str">
        <x:v>2026-10-28</x:v>
      </x:c>
      <x:c r="J10" s="22" t="str">
        <x:v>Whenever affiliate setup changes</x:v>
      </x:c>
      <x:c r="K10" s="22" t="str">
        <x:v>Owned implementation only</x:v>
      </x:c>
      <x:c r="L10" s="22" t="str">
        <x:v>Use exact code MBAT113.</x:v>
      </x:c>
    </x:row>
    <x:row r="11">
      <x:c r="A11" s="22" t="str">
        <x:v>S7</x:v>
      </x:c>
      <x:c r="B11" s="22" t="str">
        <x:v>MB official – current referral/promotion terms</x:v>
      </x:c>
      <x:c r="C11" s="22" t="str">
        <x:v>DISCOVER CURRENT OFFICIAL URL PER RUN</x:v>
      </x:c>
      <x:c r="D11" s="22" t="str">
        <x:v>Primary official required</x:v>
      </x:c>
      <x:c r="E11" s="22" t="str">
        <x:v>Current reward/eligibility/status if available</x:v>
      </x:c>
      <x:c r="F11" s="22" t="str">
        <x:v>Expired/historical promo as current claim</x:v>
      </x:c>
      <x:c r="G11" s="22" t="str">
        <x:v>R-PILLAR; R-support</x:v>
      </x:c>
      <x:c r="H11" s="22" t="str">
        <x:v>Very High</x:v>
      </x:c>
      <x:c xmlns:x="http://schemas.openxmlformats.org/spreadsheetml/2006/main" r="I11" s="22" t="str">
        <x:v>2026-10-28</x:v>
      </x:c>
      <x:c r="J11" s="22" t="str">
        <x:v>Every referral-benefit update</x:v>
      </x:c>
      <x:c r="K11" s="22" t="str">
        <x:v>Mandatory for reward amount</x:v>
      </x:c>
      <x:c xmlns:x="http://schemas.openxmlformats.org/spreadsheetml/2006/main" r="L11" s="22" t="str">
        <x:v>Checked official referral page and linked /resources/files/2025/Referral-2025/tnc-referral-2025-(nfc).pdf: enrollment 2025-01-01 to 2025-12-31, payout end 2026-12-31. Historical evidence only; no current reward amount verified. Public guide label inspected; no fixed current screen order claimed.</x:v>
      </x:c>
    </x:row>
    <x:row r="12">
      <x:c r="A12" s="22"/>
      <x:c r="B12" s="22"/>
      <x:c r="C12" s="22"/>
      <x:c r="D12" s="22"/>
      <x:c r="E12" s="22"/>
      <x:c r="F12" s="22"/>
      <x:c r="G12" s="22"/>
      <x:c r="H12" s="22"/>
      <x:c r="I12" s="22"/>
      <x:c r="J12" s="22"/>
      <x:c r="K12" s="22"/>
      <x:c r="L12" s="22"/>
    </x:row>
    <x:row r="13">
      <x:c r="A13" s="22"/>
      <x:c r="B13" s="22"/>
      <x:c r="C13" s="22"/>
      <x:c r="D13" s="22"/>
      <x:c r="E13" s="22"/>
      <x:c r="F13" s="22"/>
      <x:c r="G13" s="22"/>
      <x:c r="H13" s="22"/>
      <x:c r="I13" s="22"/>
      <x:c r="J13" s="22"/>
      <x:c r="K13" s="22"/>
      <x:c r="L13" s="22"/>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INITIAL 60-ITEM BACKLOG – MB BANK</x:v>
      </x:c>
      <x:c r="B1" s="38"/>
      <x:c r="C1" s="38"/>
      <x:c r="D1" s="38"/>
      <x:c r="E1" s="38"/>
      <x:c r="F1" s="38"/>
      <x:c r="G1" s="38"/>
      <x:c r="H1" s="38"/>
      <x:c r="I1" s="38"/>
      <x:c r="J1" s="38"/>
      <x:c r="K1" s="38"/>
      <x:c r="L1" s="38"/>
      <x:c r="M1" s="38"/>
      <x:c r="N1" s="38"/>
      <x:c r="O1" s="38"/>
      <x:c r="P1" s="38"/>
    </x:row>
    <x:row r="2">
      <x:c r="A2" s="12" t="str">
        <x:v>Đây chỉ là backlog khởi tạo cho Evergreen Queue, không phải deadline. Engine không phụ thuộc ngày 1–60.</x:v>
      </x:c>
      <x:c r="B2" s="12"/>
      <x:c r="C2" s="12"/>
      <x:c r="D2" s="12"/>
      <x:c r="E2" s="12"/>
      <x:c r="F2" s="12"/>
      <x:c r="G2" s="12"/>
      <x:c r="H2" s="12"/>
      <x:c r="I2" s="12"/>
      <x:c r="J2" s="12"/>
      <x:c r="K2" s="12"/>
      <x:c r="L2" s="12"/>
      <x:c r="M2" s="12"/>
      <x:c r="N2" s="12"/>
      <x:c r="O2" s="12"/>
      <x:c r="P2" s="12"/>
    </x:row>
    <x:row r="3">
      <x:c r="A3"/>
      <x:c r="B3"/>
      <x:c r="C3"/>
      <x:c r="D3"/>
      <x:c r="E3"/>
      <x:c r="F3"/>
      <x:c r="G3"/>
      <x:c r="H3"/>
      <x:c r="I3"/>
      <x:c r="J3"/>
      <x:c r="K3"/>
      <x:c r="L3"/>
      <x:c r="M3"/>
      <x:c r="N3"/>
      <x:c r="O3"/>
      <x:c r="P3"/>
    </x:row>
    <x:row r="4">
      <x:c r="A4" s="20" t="str">
        <x:v>Day</x:v>
      </x:c>
      <x:c r="B4" s="20" t="str">
        <x:v>Asset ID</x:v>
      </x:c>
      <x:c r="C4" s="20" t="str">
        <x:v>Content title / Task</x:v>
      </x:c>
      <x:c r="D4" s="20" t="str">
        <x:v>Cluster</x:v>
      </x:c>
      <x:c r="E4" s="20" t="str">
        <x:v>Intent layer</x:v>
      </x:c>
      <x:c r="F4" s="20" t="str">
        <x:v>Publish mode</x:v>
      </x:c>
      <x:c r="G4" s="20" t="str">
        <x:v>URL action</x:v>
      </x:c>
      <x:c r="H4" s="20" t="str">
        <x:v>Canonical / Parent</x:v>
      </x:c>
      <x:c r="I4" s="20" t="str">
        <x:v>CTA level</x:v>
      </x:c>
      <x:c r="J4" s="20" t="str">
        <x:v>Source gate</x:v>
      </x:c>
      <x:c r="K4" s="20" t="str">
        <x:v>Priority</x:v>
      </x:c>
      <x:c r="L4" s="20" t="str">
        <x:v>Default status</x:v>
      </x:c>
      <x:c r="M4" s="20" t="str">
        <x:v>Queue origin</x:v>
      </x:c>
      <x:c r="N4" s="20" t="str">
        <x:v>Notes</x:v>
      </x:c>
      <x:c r="O4" s="20" t="str">
        <x:v>Evergreen use</x:v>
      </x:c>
      <x:c r="P4" s="20" t="str">
        <x:v>Code</x:v>
      </x:c>
    </x:row>
    <x:row r="5">
      <x:c r="A5" s="22" t="n">
        <x:v>1</x:v>
      </x:c>
      <x:c r="B5" s="46"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r="L5" s="22" t="str">
        <x:v>Ready</x:v>
      </x:c>
      <x:c r="M5" s="22" t="str">
        <x:v>Initial backlog / Item 1</x:v>
      </x:c>
      <x:c r="N5" s="22" t="str">
        <x:v>Core acquisition</x:v>
      </x:c>
      <x:c r="O5" s="22" t="str">
        <x:v>Evergreen queue</x:v>
      </x:c>
      <x:c r="P5" s="22" t="str">
        <x:v>MBAT113</x:v>
      </x:c>
    </x:row>
    <x:row r="6">
      <x:c r="A6" s="22" t="n">
        <x:v>2</x:v>
      </x:c>
      <x:c r="B6" s="46" t="str">
        <x:v>R-PILLAR</x:v>
      </x:c>
      <x:c r="C6" s="22" t="str">
        <x:v>Publish: Mã giới thiệu MB Bank MBAT113</x:v>
      </x:c>
      <x:c r="D6" s="22" t="str">
        <x:v>Referral</x:v>
      </x:c>
      <x:c r="E6" s="22" t="str">
        <x:v>Referral money intent</x:v>
      </x:c>
      <x:c r="F6" s="22" t="str">
        <x:v>New article</x:v>
      </x:c>
      <x:c xmlns:x="http://schemas.openxmlformats.org/spreadsheetml/2006/main" r="G6" s="22" t="str">
        <x:v>Create /mo-tai-khoan/ma-gioi-thieu-mb-bank/</x:v>
      </x:c>
      <x:c r="H6" s="22" t="str">
        <x:v>Pillar R</x:v>
      </x:c>
      <x:c r="I6" s="22" t="str">
        <x:v>Very High</x:v>
      </x:c>
      <x:c r="J6" s="22" t="str">
        <x:v>Current flow + S2/S7</x:v>
      </x:c>
      <x:c r="K6" s="22" t="str">
        <x:v>P0</x:v>
      </x:c>
      <x:c r="L6" s="22" t="str">
        <x:v>Ready</x:v>
      </x:c>
      <x:c r="M6" s="22" t="str">
        <x:v>Initial backlog / Item 2</x:v>
      </x:c>
      <x:c r="N6" s="22" t="str">
        <x:v>Primary conversion</x:v>
      </x:c>
      <x:c r="O6" s="22" t="str">
        <x:v>Evergreen queue</x:v>
      </x:c>
      <x:c r="P6" s="22" t="str">
        <x:v>MBAT113</x:v>
      </x:c>
    </x:row>
    <x:row r="7">
      <x:c r="A7" s="22" t="n">
        <x:v>3</x:v>
      </x:c>
      <x:c r="B7" s="46"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t="str">
        <x:v>Task completion</x:v>
      </x:c>
      <x:c r="O7" s="22" t="str">
        <x:v>Evergreen queue</x:v>
      </x:c>
      <x:c r="P7" s="22" t="str">
        <x:v>MBAT113</x:v>
      </x:c>
    </x:row>
    <x:row r="8">
      <x:c r="A8" s="22" t="n">
        <x:v>4</x:v>
      </x:c>
      <x:c r="B8" s="46"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t="str">
        <x:v>Qualification</x:v>
      </x:c>
      <x:c r="O8" s="22" t="str">
        <x:v>Evergreen queue</x:v>
      </x:c>
      <x:c r="P8" s="22" t="str">
        <x:v>MBAT113</x:v>
      </x:c>
    </x:row>
    <x:row r="9">
      <x:c r="A9" s="22" t="n">
        <x:v>5</x:v>
      </x:c>
      <x:c r="B9" s="46"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t="str">
        <x:v>YMYL</x:v>
      </x:c>
      <x:c r="O9" s="22" t="str">
        <x:v>Evergreen queue</x:v>
      </x:c>
      <x:c r="P9" s="22" t="str">
        <x:v>MBAT113</x:v>
      </x:c>
    </x:row>
    <x:row r="10">
      <x:c r="A10" s="22" t="n">
        <x:v>6</x:v>
      </x:c>
      <x:c r="B10" s="46"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t="str">
        <x:v>No bypass</x:v>
      </x:c>
      <x:c r="O10" s="22" t="str">
        <x:v>Evergreen queue</x:v>
      </x:c>
      <x:c r="P10" s="22" t="str">
        <x:v>MBAT113</x:v>
      </x:c>
    </x:row>
    <x:row r="11">
      <x:c r="A11" s="22" t="n">
        <x:v>7</x:v>
      </x:c>
      <x:c r="B11" s="46"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t="str">
        <x:v>No invented method</x:v>
      </x:c>
      <x:c r="O11" s="22" t="str">
        <x:v>Evergreen queue</x:v>
      </x:c>
      <x:c r="P11" s="22" t="str">
        <x:v>MBAT113</x:v>
      </x:c>
    </x:row>
    <x:row r="12">
      <x:c r="A12" s="22" t="n">
        <x:v>8</x:v>
      </x:c>
      <x:c r="B12" s="46"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t="str">
        <x:v>No reward guarantee</x:v>
      </x:c>
      <x:c r="O12" s="22" t="str">
        <x:v>Evergreen queue</x:v>
      </x:c>
      <x:c r="P12" s="22" t="str">
        <x:v>MBAT113</x:v>
      </x:c>
    </x:row>
    <x:row r="13">
      <x:c r="A13" s="22" t="n">
        <x:v>9</x:v>
      </x:c>
      <x:c r="B13" s="46"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t="str">
        <x:v>Prevent abandonment</x:v>
      </x:c>
      <x:c r="O13" s="22" t="str">
        <x:v>Evergreen queue</x:v>
      </x:c>
      <x:c r="P13" s="22" t="str">
        <x:v>MBAT113</x:v>
      </x:c>
    </x:row>
    <x:row r="14">
      <x:c r="A14" s="22" t="n">
        <x:v>10</x:v>
      </x:c>
      <x:c r="B14" s="46"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t="str">
        <x:v>Affiliate trust</x:v>
      </x:c>
      <x:c r="O14" s="22" t="str">
        <x:v>Evergreen queue</x:v>
      </x:c>
      <x:c r="P14" s="22" t="str">
        <x:v>MBAT113</x:v>
      </x:c>
    </x:row>
    <x:row r="15">
      <x:c r="A15" s="22" t="n">
        <x:v>11</x:v>
      </x:c>
      <x:c r="B15" s="46"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t="str">
        <x:v>Card owner</x:v>
      </x:c>
      <x:c r="O15" s="22" t="str">
        <x:v>Evergreen queue</x:v>
      </x:c>
      <x:c r="P15" s="22" t="str">
        <x:v>MBAT113</x:v>
      </x:c>
    </x:row>
    <x:row r="16">
      <x:c r="A16" s="22" t="n">
        <x:v>12</x:v>
      </x:c>
      <x:c r="B16" s="46"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t="str">
        <x:v>Avoid thin content</x:v>
      </x:c>
      <x:c r="O16" s="22" t="str">
        <x:v>Evergreen queue</x:v>
      </x:c>
      <x:c r="P16" s="22" t="str">
        <x:v>MBAT113</x:v>
      </x:c>
    </x:row>
    <x:row r="17">
      <x:c r="A17" s="22" t="n">
        <x:v>13</x:v>
      </x:c>
      <x:c r="B17" s="46"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t="str">
        <x:v>No blanket delivery</x:v>
      </x:c>
      <x:c r="O17" s="22" t="str">
        <x:v>Evergreen queue</x:v>
      </x:c>
      <x:c r="P17" s="22" t="str">
        <x:v>MBAT113</x:v>
      </x:c>
    </x:row>
    <x:row r="18">
      <x:c r="A18" s="22" t="n">
        <x:v>14</x:v>
      </x:c>
      <x:c r="B18" s="46"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t="str">
        <x:v>YMYL</x:v>
      </x:c>
      <x:c r="O18" s="22" t="str">
        <x:v>Evergreen queue</x:v>
      </x:c>
      <x:c r="P18" s="22" t="str">
        <x:v>MBAT113</x:v>
      </x:c>
    </x:row>
    <x:row r="19">
      <x:c r="A19" s="22" t="n">
        <x:v>15</x:v>
      </x:c>
      <x:c r="B19" s="46"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t="str">
        <x:v>No blanket free claim</x:v>
      </x:c>
      <x:c r="O19" s="22" t="str">
        <x:v>Evergreen queue</x:v>
      </x:c>
      <x:c r="P19" s="22" t="str">
        <x:v>MBAT113</x:v>
      </x:c>
    </x:row>
    <x:row r="20">
      <x:c r="A20" s="22" t="n">
        <x:v>16</x:v>
      </x:c>
      <x:c r="B20" s="46"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t="str">
        <x:v>No fixed time</x:v>
      </x:c>
      <x:c r="O20" s="22" t="str">
        <x:v>Evergreen queue</x:v>
      </x:c>
      <x:c r="P20" s="22" t="str">
        <x:v>MBAT113</x:v>
      </x:c>
    </x:row>
    <x:row r="21">
      <x:c r="A21" s="22" t="n">
        <x:v>17</x:v>
      </x:c>
      <x:c r="B21" s="46"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t="str">
        <x:v>Anti-phishing</x:v>
      </x:c>
      <x:c r="O21" s="22" t="str">
        <x:v>Evergreen queue</x:v>
      </x:c>
      <x:c r="P21" s="22" t="str">
        <x:v>MBAT113</x:v>
      </x:c>
    </x:row>
    <x:row r="22">
      <x:c r="A22" s="22" t="n">
        <x:v>18</x:v>
      </x:c>
      <x:c r="B22" s="46"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t="str">
        <x:v>Core conversion</x:v>
      </x:c>
      <x:c r="O22" s="22" t="str">
        <x:v>Evergreen queue</x:v>
      </x:c>
      <x:c r="P22" s="22" t="str">
        <x:v>MBAT113</x:v>
      </x:c>
    </x:row>
    <x:row r="23">
      <x:c r="A23" s="22" t="n">
        <x:v>19</x:v>
      </x:c>
      <x:c r="B23" s="46"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t="str">
        <x:v>Reduce errors</x:v>
      </x:c>
      <x:c r="O23" s="22" t="str">
        <x:v>Evergreen queue</x:v>
      </x:c>
      <x:c r="P23" s="22" t="str">
        <x:v>MBAT113</x:v>
      </x:c>
    </x:row>
    <x:row r="24">
      <x:c r="A24" s="22" t="n">
        <x:v>20</x:v>
      </x:c>
      <x:c r="B24" s="46"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t="str">
        <x:v>Reassurance</x:v>
      </x:c>
      <x:c r="O24" s="22" t="str">
        <x:v>Evergreen queue</x:v>
      </x:c>
      <x:c r="P24" s="22" t="str">
        <x:v>MBAT113</x:v>
      </x:c>
    </x:row>
    <x:row r="25">
      <x:c r="A25" s="22" t="n">
        <x:v>21</x:v>
      </x:c>
      <x:c r="B25" s="46"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t="str">
        <x:v>No unverified amount</x:v>
      </x:c>
      <x:c r="O25" s="22" t="str">
        <x:v>Evergreen queue</x:v>
      </x:c>
      <x:c r="P25" s="22" t="str">
        <x:v>MBAT113</x:v>
      </x:c>
    </x:row>
    <x:row r="26">
      <x:c r="A26" s="22" t="n">
        <x:v>22</x:v>
      </x:c>
      <x:c r="B26" s="46"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t="str">
        <x:v>High volatility</x:v>
      </x:c>
      <x:c r="O26" s="22" t="str">
        <x:v>Evergreen queue</x:v>
      </x:c>
      <x:c r="P26" s="22" t="str">
        <x:v>MBAT113</x:v>
      </x:c>
    </x:row>
    <x:row r="27">
      <x:c r="A27" s="22" t="n">
        <x:v>23</x:v>
      </x:c>
      <x:c r="B27" s="46"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t="str">
        <x:v>Trust</x:v>
      </x:c>
      <x:c r="O27" s="22" t="str">
        <x:v>Evergreen queue</x:v>
      </x:c>
      <x:c r="P27" s="22" t="str">
        <x:v>MBAT113</x:v>
      </x:c>
    </x:row>
    <x:row r="28">
      <x:c r="A28" s="22" t="n">
        <x:v>24</x:v>
      </x:c>
      <x:c r="B28" s="46"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t="str">
        <x:v>Never request OTP</x:v>
      </x:c>
      <x:c r="O28" s="22" t="str">
        <x:v>Evergreen queue</x:v>
      </x:c>
      <x:c r="P28" s="22" t="str">
        <x:v>MBAT113</x:v>
      </x:c>
    </x:row>
    <x:row r="29">
      <x:c r="A29" s="22" t="n">
        <x:v>25</x:v>
      </x:c>
      <x:c r="B29" s="46"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t="str">
        <x:v>No bypass</x:v>
      </x:c>
      <x:c r="O29" s="22" t="str">
        <x:v>Evergreen queue</x:v>
      </x:c>
      <x:c r="P29" s="22" t="str">
        <x:v>MBAT113</x:v>
      </x:c>
    </x:row>
    <x:row r="30">
      <x:c r="A30" s="22" t="n">
        <x:v>26</x:v>
      </x:c>
      <x:c r="B30" s="46"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t="str">
        <x:v>No data inference</x:v>
      </x:c>
      <x:c r="O30" s="22" t="str">
        <x:v>Evergreen queue</x:v>
      </x:c>
      <x:c r="P30" s="22" t="str">
        <x:v>MBAT113</x:v>
      </x:c>
    </x:row>
    <x:row r="31">
      <x:c r="A31" s="22" t="n">
        <x:v>27</x:v>
      </x:c>
      <x:c r="B31" s="46"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t="str">
        <x:v>Current requirements</x:v>
      </x:c>
      <x:c r="O31" s="22" t="str">
        <x:v>Evergreen queue</x:v>
      </x:c>
      <x:c r="P31" s="22" t="str">
        <x:v>MBAT113</x:v>
      </x:c>
    </x:row>
    <x:row r="32">
      <x:c r="A32" s="22" t="n">
        <x:v>28</x:v>
      </x:c>
      <x:c r="B32" s="46"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t="str">
        <x:v>Legal accuracy</x:v>
      </x:c>
      <x:c r="O32" s="22" t="str">
        <x:v>Evergreen queue</x:v>
      </x:c>
      <x:c r="P32" s="22" t="str">
        <x:v>MBAT113</x:v>
      </x:c>
    </x:row>
    <x:row r="33">
      <x:c r="A33" s="22" t="n">
        <x:v>29</x:v>
      </x:c>
      <x:c r="B33" s="46"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t="str">
        <x:v>Legal accuracy</x:v>
      </x:c>
      <x:c r="O33" s="22" t="str">
        <x:v>Evergreen queue</x:v>
      </x:c>
      <x:c r="P33" s="22" t="str">
        <x:v>MBAT113</x:v>
      </x:c>
    </x:row>
    <x:row r="34">
      <x:c r="A34" s="22" t="n">
        <x:v>30</x:v>
      </x:c>
      <x:c r="B34" s="46"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t="str">
        <x:v>No bypass</x:v>
      </x:c>
      <x:c r="O34" s="22" t="str">
        <x:v>Evergreen queue</x:v>
      </x:c>
      <x:c r="P34" s="22" t="str">
        <x:v>MBAT113</x:v>
      </x:c>
    </x:row>
    <x:row r="35">
      <x:c r="A35" s="22" t="n">
        <x:v>31</x:v>
      </x:c>
      <x:c r="B35" s="46"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t="str">
        <x:v>Keep consolidated</x:v>
      </x:c>
      <x:c r="O35" s="22" t="str">
        <x:v>Evergreen queue</x:v>
      </x:c>
      <x:c r="P35" s="22" t="str">
        <x:v>MBAT113</x:v>
      </x:c>
    </x:row>
    <x:row r="36">
      <x:c r="A36" s="22" t="n">
        <x:v>32</x:v>
      </x:c>
      <x:c r="B36" s="46"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t="str">
        <x:v>No blanket claim</x:v>
      </x:c>
      <x:c r="O36" s="22" t="str">
        <x:v>Evergreen queue</x:v>
      </x:c>
      <x:c r="P36" s="22" t="str">
        <x:v>MBAT113</x:v>
      </x:c>
    </x:row>
    <x:row r="37">
      <x:c r="A37" s="22" t="n">
        <x:v>33</x:v>
      </x:c>
      <x:c r="B37" s="46"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t="str">
        <x:v>Source required</x:v>
      </x:c>
      <x:c r="O37" s="22" t="str">
        <x:v>Evergreen queue</x:v>
      </x:c>
      <x:c r="P37" s="22" t="str">
        <x:v>MBAT113</x:v>
      </x:c>
    </x:row>
    <x:row r="38">
      <x:c r="A38" s="22" t="n">
        <x:v>34</x:v>
      </x:c>
      <x:c r="B38" s="46"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t="str">
        <x:v>Decision content</x:v>
      </x:c>
      <x:c r="O38" s="22" t="str">
        <x:v>Evergreen queue</x:v>
      </x:c>
      <x:c r="P38" s="22" t="str">
        <x:v>MBAT113</x:v>
      </x:c>
    </x:row>
    <x:row r="39">
      <x:c r="A39" s="22" t="n">
        <x:v>35</x:v>
      </x:c>
      <x:c r="B39" s="46"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t="str">
        <x:v>Trust layer</x:v>
      </x:c>
      <x:c r="O39" s="22" t="str">
        <x:v>Evergreen queue</x:v>
      </x:c>
      <x:c r="P39" s="22" t="str">
        <x:v>MBAT113</x:v>
      </x:c>
    </x:row>
    <x:row r="40">
      <x:c r="A40" s="22" t="n">
        <x:v>36</x:v>
      </x:c>
      <x:c r="B40" s="46"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t="str">
        <x:v>Anti-phishing</x:v>
      </x:c>
      <x:c r="O40" s="22" t="str">
        <x:v>Evergreen queue</x:v>
      </x:c>
      <x:c r="P40" s="22" t="str">
        <x:v>MBAT113</x:v>
      </x:c>
    </x:row>
    <x:row r="41">
      <x:c r="A41" s="22" t="n">
        <x:v>37</x:v>
      </x:c>
      <x:c r="B41" s="46"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t="str">
        <x:v>No sensitive info</x:v>
      </x:c>
      <x:c r="O41" s="22" t="str">
        <x:v>Evergreen queue</x:v>
      </x:c>
      <x:c r="P41" s="22" t="str">
        <x:v>MBAT113</x:v>
      </x:c>
    </x:row>
    <x:row r="42">
      <x:c r="A42" s="22" t="n">
        <x:v>38</x:v>
      </x:c>
      <x:c r="B42" s="46"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t="str">
        <x:v>No fake freshness</x:v>
      </x:c>
      <x:c r="O42" s="22" t="str">
        <x:v>Evergreen queue</x:v>
      </x:c>
      <x:c r="P42" s="22" t="str">
        <x:v>MBAT113</x:v>
      </x:c>
    </x:row>
    <x:row r="43">
      <x:c r="A43" s="22" t="n">
        <x:v>39</x:v>
      </x:c>
      <x:c r="B43" s="46"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t="str">
        <x:v>Commercial</x:v>
      </x:c>
      <x:c r="O43" s="22" t="str">
        <x:v>Evergreen queue</x:v>
      </x:c>
      <x:c r="P43" s="22" t="str">
        <x:v>MBAT113</x:v>
      </x:c>
    </x:row>
    <x:row r="44">
      <x:c r="A44" s="22" t="n">
        <x:v>40</x:v>
      </x:c>
      <x:c r="B44" s="46"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t="str">
        <x:v>Core funnel</x:v>
      </x:c>
      <x:c r="O44" s="22" t="str">
        <x:v>Evergreen queue</x:v>
      </x:c>
      <x:c r="P44" s="22" t="str">
        <x:v>MBAT113</x:v>
      </x:c>
    </x:row>
    <x:row r="45">
      <x:c r="A45" s="22" t="n">
        <x:v>41</x:v>
      </x:c>
      <x:c r="B45" s="46"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t="str">
        <x:v>No overlinking</x:v>
      </x:c>
      <x:c r="O45" s="22" t="str">
        <x:v>Evergreen queue</x:v>
      </x:c>
      <x:c r="P45" s="22" t="str">
        <x:v>MBAT113</x:v>
      </x:c>
    </x:row>
    <x:row r="46">
      <x:c r="A46" s="22" t="n">
        <x:v>42</x:v>
      </x:c>
      <x:c r="B46" s="46"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t="str">
        <x:v>Discovery refresh</x:v>
      </x:c>
      <x:c r="O46" s="22" t="str">
        <x:v>Evergreen queue</x:v>
      </x:c>
      <x:c r="P46" s="22" t="str">
        <x:v>MBAT113</x:v>
      </x:c>
    </x:row>
    <x:row r="47">
      <x:c r="A47" s="22" t="n">
        <x:v>43</x:v>
      </x:c>
      <x:c r="B47" s="46"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t="str">
        <x:v>Keep sourced</x:v>
      </x:c>
      <x:c r="O47" s="22" t="str">
        <x:v>Evergreen queue</x:v>
      </x:c>
      <x:c r="P47" s="22" t="str">
        <x:v>MBAT113</x:v>
      </x:c>
    </x:row>
    <x:row r="48">
      <x:c r="A48" s="22" t="n">
        <x:v>44</x:v>
      </x:c>
      <x:c r="B48" s="46"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t="str">
        <x:v>After C live</x:v>
      </x:c>
      <x:c r="O48" s="22" t="str">
        <x:v>Evergreen queue</x:v>
      </x:c>
      <x:c r="P48" s="22" t="str">
        <x:v>MBAT113</x:v>
      </x:c>
    </x:row>
    <x:row r="49">
      <x:c r="A49" s="22" t="n">
        <x:v>45</x:v>
      </x:c>
      <x:c r="B49" s="46"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t="str">
        <x:v>Discovery trigger</x:v>
      </x:c>
      <x:c r="O49" s="22" t="str">
        <x:v>Evergreen queue</x:v>
      </x:c>
      <x:c r="P49" s="22" t="str">
        <x:v>MBAT113</x:v>
      </x:c>
    </x:row>
    <x:row r="50">
      <x:c r="A50" s="22" t="n">
        <x:v>46</x:v>
      </x:c>
      <x:c r="B50" s="46"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t="str">
        <x:v>Reward source gate</x:v>
      </x:c>
      <x:c r="O50" s="22" t="str">
        <x:v>Evergreen queue</x:v>
      </x:c>
      <x:c r="P50" s="22" t="str">
        <x:v>MBAT113</x:v>
      </x:c>
    </x:row>
    <x:row r="51">
      <x:c r="A51" s="22" t="n">
        <x:v>47</x:v>
      </x:c>
      <x:c r="B51" s="46"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t="str">
        <x:v>Find real questions</x:v>
      </x:c>
      <x:c r="O51" s="22" t="str">
        <x:v>Evergreen queue</x:v>
      </x:c>
      <x:c r="P51" s="22" t="str">
        <x:v>MBAT113</x:v>
      </x:c>
    </x:row>
    <x:row r="52">
      <x:c r="A52" s="22" t="n">
        <x:v>48</x:v>
      </x:c>
      <x:c r="B52" s="46"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t="str">
        <x:v>Conversion opportunities</x:v>
      </x:c>
      <x:c r="O52" s="22" t="str">
        <x:v>Evergreen queue</x:v>
      </x:c>
      <x:c r="P52" s="22" t="str">
        <x:v>MBAT113</x:v>
      </x:c>
    </x:row>
    <x:row r="53">
      <x:c r="A53" s="22" t="n">
        <x:v>49</x:v>
      </x:c>
      <x:c r="B53" s="46"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t="str">
        <x:v>Product gaps</x:v>
      </x:c>
      <x:c r="O53" s="22" t="str">
        <x:v>Evergreen queue</x:v>
      </x:c>
      <x:c r="P53" s="22" t="str">
        <x:v>MBAT113</x:v>
      </x:c>
    </x:row>
    <x:row r="54">
      <x:c r="A54" s="22" t="n">
        <x:v>50</x:v>
      </x:c>
      <x:c r="B54" s="46"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t="str">
        <x:v>Merge overlaps</x:v>
      </x:c>
      <x:c r="O54" s="22" t="str">
        <x:v>Evergreen queue</x:v>
      </x:c>
      <x:c r="P54" s="22" t="str">
        <x:v>MBAT113</x:v>
      </x:c>
    </x:row>
    <x:row r="55">
      <x:c r="A55" s="22" t="n">
        <x:v>51</x:v>
      </x:c>
      <x:c r="B55" s="46"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t="str">
        <x:v>Protect money page</x:v>
      </x:c>
      <x:c r="O55" s="22" t="str">
        <x:v>Evergreen queue</x:v>
      </x:c>
      <x:c r="P55" s="22" t="str">
        <x:v>MBAT113</x:v>
      </x:c>
    </x:row>
    <x:row r="56">
      <x:c r="A56" s="22" t="n">
        <x:v>52</x:v>
      </x:c>
      <x:c r="B56" s="46"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t="str">
        <x:v>Protect owner</x:v>
      </x:c>
      <x:c r="O56" s="22" t="str">
        <x:v>Evergreen queue</x:v>
      </x:c>
      <x:c r="P56" s="22" t="str">
        <x:v>MBAT113</x:v>
      </x:c>
    </x:row>
    <x:row r="57">
      <x:c r="A57" s="22" t="n">
        <x:v>53</x:v>
      </x:c>
      <x:c r="B57" s="46"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t="str">
        <x:v>Answer-first</x:v>
      </x:c>
      <x:c r="O57" s="22" t="str">
        <x:v>Evergreen queue</x:v>
      </x:c>
      <x:c r="P57" s="22" t="str">
        <x:v>MBAT113</x:v>
      </x:c>
    </x:row>
    <x:row r="58">
      <x:c r="A58" s="22" t="n">
        <x:v>54</x:v>
      </x:c>
      <x:c r="B58" s="46"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t="str">
        <x:v>Conversion answers</x:v>
      </x:c>
      <x:c r="O58" s="22" t="str">
        <x:v>Evergreen queue</x:v>
      </x:c>
      <x:c r="P58" s="22" t="str">
        <x:v>MBAT113</x:v>
      </x:c>
    </x:row>
    <x:row r="59">
      <x:c r="A59" s="22" t="n">
        <x:v>55</x:v>
      </x:c>
      <x:c r="B59" s="46"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t="str">
        <x:v>Product answers</x:v>
      </x:c>
      <x:c r="O59" s="22" t="str">
        <x:v>Evergreen queue</x:v>
      </x:c>
      <x:c r="P59" s="22" t="str">
        <x:v>MBAT113</x:v>
      </x:c>
    </x:row>
    <x:row r="60">
      <x:c r="A60" s="22" t="n">
        <x:v>56</x:v>
      </x:c>
      <x:c r="B60" s="46"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t="str">
        <x:v>Avoid over-selling</x:v>
      </x:c>
      <x:c r="O60" s="22" t="str">
        <x:v>Evergreen queue</x:v>
      </x:c>
      <x:c r="P60" s="22" t="str">
        <x:v>MBAT113</x:v>
      </x:c>
    </x:row>
    <x:row r="61">
      <x:c r="A61" s="22" t="n">
        <x:v>57</x:v>
      </x:c>
      <x:c r="B61" s="46"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t="str">
        <x:v>Primary conversion</x:v>
      </x:c>
      <x:c r="O61" s="22" t="str">
        <x:v>Evergreen queue</x:v>
      </x:c>
      <x:c r="P61" s="22" t="str">
        <x:v>MBAT113</x:v>
      </x:c>
    </x:row>
    <x:row r="62">
      <x:c r="A62" s="22" t="n">
        <x:v>58</x:v>
      </x:c>
      <x:c r="B62" s="46"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t="str">
        <x:v>No visual regression</x:v>
      </x:c>
      <x:c r="O62" s="22" t="str">
        <x:v>Evergreen queue</x:v>
      </x:c>
      <x:c r="P62" s="22" t="str">
        <x:v>MBAT113</x:v>
      </x:c>
    </x:row>
    <x:row r="63">
      <x:c r="A63" s="22" t="n">
        <x:v>59</x:v>
      </x:c>
      <x:c r="B63" s="46"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t="str">
        <x:v>YMYL freshness</x:v>
      </x:c>
      <x:c r="O63" s="22" t="str">
        <x:v>Evergreen queue</x:v>
      </x:c>
      <x:c r="P63" s="22" t="str">
        <x:v>MBAT113</x:v>
      </x:c>
    </x:row>
    <x:row r="64">
      <x:c r="A64" s="22" t="n">
        <x:v>60</x:v>
      </x:c>
      <x:c r="B64" s="46"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t="str">
        <x:v>Append 3–5 candidates</x:v>
      </x:c>
      <x:c r="O64" s="22" t="str">
        <x:v>Evergreen queue</x:v>
      </x:c>
      <x:c r="P64" s="22" t="str">
        <x:v>MBAT113</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8ad254e172b947a1"/>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MB BANK CONTENT ENGINE – DASHBOARD</x:v>
      </x:c>
      <x:c r="B1" s="8"/>
      <x:c r="C1" s="8"/>
      <x:c r="D1" s="8"/>
      <x:c r="E1" s="8"/>
      <x:c r="F1" s="8"/>
      <x:c r="G1" s="8"/>
      <x:c r="H1" s="8"/>
    </x:row>
    <x:row r="2">
      <x:c r="A2"/>
      <x:c r="B2"/>
      <x:c r="C2"/>
      <x:c r="D2"/>
      <x:c r="E2"/>
    </x:row>
    <x:row r="3">
      <x:c r="A3" s="20" t="str">
        <x:v>Metric</x:v>
      </x:c>
      <x:c r="B3" s="20" t="str">
        <x:v>Value</x:v>
      </x:c>
      <x:c r="C3"/>
      <x:c r="D3" s="20" t="str">
        <x:v>Pillar</x:v>
      </x:c>
      <x:c r="E3" s="20" t="str">
        <x:v>Role</x:v>
      </x:c>
    </x:row>
    <x:row r="4">
      <x:c r="A4" t="str">
        <x:v>Original keywords</x:v>
      </x:c>
      <x:c r="B4" s="30" t="n">
        <x:v>211</x:v>
      </x:c>
      <x:c r="C4"/>
      <x:c r="D4" t="str">
        <x:v>A-PILLAR</x:v>
      </x:c>
      <x:c r="E4" t="str">
        <x:v>Traffic / acquisition</x:v>
      </x:c>
    </x:row>
    <x:row r="5">
      <x:c r="A5" t="str">
        <x:v>Account + generic seed</x:v>
      </x:c>
      <x:c r="B5" s="30" t="n">
        <x:v>177</x:v>
      </x:c>
      <x:c r="C5"/>
      <x:c r="D5" t="str">
        <x:v>R-PILLAR</x:v>
      </x:c>
      <x:c r="E5" t="str">
        <x:v>Primary MBAT113 conversion</x:v>
      </x:c>
    </x:row>
    <x:row r="6">
      <x:c r="A6" t="str">
        <x:v>Card seed</x:v>
      </x:c>
      <x:c r="B6" t="n">
        <x:v>34</x:v>
      </x:c>
      <x:c r="C6"/>
      <x:c r="D6" t="str">
        <x:v>C-PILLAR</x:v>
      </x:c>
      <x:c r="E6" t="str">
        <x:v>Card product demand</x:v>
      </x:c>
    </x:row>
    <x:row r="7">
      <x:c r="A7" t="str">
        <x:v>Affiliate code</x:v>
      </x:c>
      <x:c r="B7" t="str">
        <x:v>MBAT113</x:v>
      </x:c>
      <x:c r="C7"/>
      <x:c r="D7" t="str">
        <x:v>A-ERRORS</x:v>
      </x:c>
      <x:c r="E7" t="str">
        <x:v>Account task completion</x:v>
      </x:c>
    </x:row>
    <x:row r="8">
      <x:c r="A8" t="str">
        <x:v>Core pillars</x:v>
      </x:c>
      <x:c r="B8" t="n">
        <x:v>3</x:v>
      </x:c>
      <x:c r="C8"/>
      <x:c r="D8" t="str">
        <x:v>A-NFC</x:v>
      </x:c>
      <x:c r="E8" t="str">
        <x:v>Technical completion</x:v>
      </x:c>
    </x:row>
    <x:row r="9">
      <x:c r="A9" t="str">
        <x:v>Initial backlog items</x:v>
      </x:c>
      <x:c r="B9" t="n">
        <x:v>60</x:v>
      </x:c>
      <x:c r="C9"/>
      <x:c r="D9" t="str">
        <x:v>R-support</x:v>
      </x:c>
      <x:c r="E9" t="str">
        <x:v>Referral recovery</x:v>
      </x:c>
    </x:row>
    <x:row r="10">
      <x:c r="A10" t="str">
        <x:v>Engine mode</x:v>
      </x:c>
      <x:c r="B10" t="str">
        <x:v>Evergreen</x:v>
      </x:c>
      <x:c r="C10"/>
      <x:c r="D10" t="str">
        <x:v>Discovery Mode</x:v>
      </x:c>
      <x:c r="E10" t="str">
        <x:v>Continuous expansion</x:v>
      </x:c>
    </x:row>
    <x:row r="11">
      <x:c r="A11" t="str">
        <x:v>Trigger</x:v>
      </x:c>
      <x:c r="B11" t="str">
        <x:v>Bắt đầu tạo bài mới MB Bank</x:v>
      </x:c>
      <x:c r="C11"/>
      <x:c r="D11"/>
      <x:c r="E11"/>
    </x:row>
    <x:row r="12">
      <x:c r="A12" t="str">
        <x:v>Queue state source</x:v>
      </x:c>
      <x:c r="B12" t="str">
        <x:v>Evergreen Queue</x:v>
      </x:c>
      <x:c r="C12"/>
      <x:c r="D12"/>
      <x:c r="E12"/>
    </x:row>
    <x:row r="13">
      <x:c r="A13" t="str">
        <x:v>History source</x:v>
      </x:c>
      <x:c r="B13" t="str">
        <x:v>Run Log</x:v>
      </x:c>
      <x:c r="C13"/>
      <x:c r="D13"/>
      <x:c r="E13"/>
    </x:row>
    <x:row r="14">
      <x:c r="A14" s="52" t="str">
        <x:v>Next item</x:v>
      </x:c>
      <x:c r="B14" s="52" t="str">
        <x:v>Next Action</x:v>
      </x:c>
      <x:c r="C14" s="52"/>
      <x:c r="D14" s="52"/>
      <x:c r="E14" s="52"/>
      <x:c r="F14" s="52"/>
      <x:c r="G14" s="52"/>
      <x:c r="H14" s="52"/>
    </x:row>
    <x:row r="15">
      <x:c r="A15" s="22"/>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NOTES – MB BANK</x:v>
      </x:c>
      <x:c r="B1" s="28"/>
      <x:c r="C1" s="28"/>
      <x:c r="D1" s="28"/>
      <x:c r="E1" s="28"/>
      <x:c r="F1" s="28"/>
    </x:row>
    <x:row r="2">
      <x:c r="A2" t="str">
        <x:v>Operational constraints for repository implementation.</x:v>
      </x:c>
      <x:c r="B2"/>
      <x:c r="C2"/>
      <x:c r="D2"/>
      <x:c r="E2"/>
      <x:c r="F2"/>
    </x:row>
    <x:row r="3">
      <x:c r="A3" s="20"/>
      <x:c r="B3" s="20"/>
      <x:c r="C3" s="20"/>
      <x:c r="D3" s="20"/>
      <x:c r="E3" s="20"/>
      <x:c r="F3" s="20"/>
    </x:row>
    <x:row r="4">
      <x:c r="A4" s="22" t="str">
        <x:v>Area</x:v>
      </x:c>
      <x:c r="B4" s="22" t="str">
        <x:v>Rule</x:v>
      </x:c>
      <x:c r="C4" s="22" t="str">
        <x:v>Required</x:v>
      </x:c>
      <x:c r="D4" s="22" t="str">
        <x:v>Forbidden</x:v>
      </x:c>
      <x:c r="E4" s="22" t="str">
        <x:v>Evidence</x:v>
      </x:c>
      <x:c r="F4" s="22" t="str">
        <x:v>Notes</x:v>
      </x:c>
    </x:row>
    <x:row r="5">
      <x:c r="A5" s="22" t="str">
        <x:v>Trigger</x:v>
      </x:c>
      <x:c r="B5" s="22" t="str">
        <x:v>User command = Bắt đầu tạo bài mới MB Bank</x:v>
      </x:c>
      <x:c r="C5" s="22" t="str">
        <x:v>Read Next Action; execute one run</x:v>
      </x:c>
      <x:c r="D5" s="22" t="str">
        <x:v>Do not ask user to choose topic if Ready exists</x:v>
      </x:c>
      <x:c r="E5" s="22" t="str">
        <x:v>Next Action</x:v>
      </x:c>
      <x:c r="F5" s="22" t="str">
        <x:v>Stop after one run unless asked</x:v>
      </x:c>
    </x:row>
    <x:row r="6">
      <x:c r="A6" s="22" t="str">
        <x:v>Affiliate</x:v>
      </x:c>
      <x:c r="B6" s="22" t="str">
        <x:v>Use MBAT113 exactly</x:v>
      </x:c>
      <x:c r="C6" s="22" t="str">
        <x:v>Pillar A/R + qualified support</x:v>
      </x:c>
      <x:c r="D6" s="22" t="str">
        <x:v>Do not use any other code</x:v>
      </x:c>
      <x:c r="E6" s="22" t="str">
        <x:v>Plan Settings / CTA Matrix</x:v>
      </x:c>
      <x:c r="F6" s="22" t="str">
        <x:v>Exact code</x:v>
      </x:c>
    </x:row>
    <x:row r="7">
      <x:c r="A7" s="22" t="str">
        <x:v>UI</x:v>
      </x:c>
      <x:c r="B7" s="22" t="str">
        <x:v>Reuse current site components</x:v>
      </x:c>
      <x:c r="C7" s="22" t="str">
        <x:v>Keep visual identity</x:v>
      </x:c>
      <x:c r="D7" s="22" t="str">
        <x:v>No redesign/new design system</x:v>
      </x:c>
      <x:c r="E7" s="22" t="str">
        <x:v>Project</x:v>
      </x:c>
      <x:c r="F7" s="22" t="str">
        <x:v>Mobile check</x:v>
      </x:c>
    </x:row>
    <x:row r="8">
      <x:c r="A8" s="22" t="str">
        <x:v>Canonical</x:v>
      </x:c>
      <x:c r="B8" s="22" t="str">
        <x:v>Respect A/R/C owners</x:v>
      </x:c>
      <x:c r="C8" s="22" t="str">
        <x:v>Merge synonyms/questions when overlap</x:v>
      </x:c>
      <x:c r="D8" s="22" t="str">
        <x:v>No 1 keyword = 1 page</x:v>
      </x:c>
      <x:c r="E8" s="22" t="str">
        <x:v>Strategy/Queue</x:v>
      </x:c>
      <x:c r="F8" s="22" t="str">
        <x:v>Avoid cannibalization</x:v>
      </x:c>
    </x:row>
    <x:row r="9">
      <x:c r="A9" s="22" t="str">
        <x:v>Financial claims</x:v>
      </x:c>
      <x:c r="B9" s="22" t="str">
        <x:v>Verify current official source</x:v>
      </x:c>
      <x:c r="C9" s="22" t="str">
        <x:v>Fees/age/reward/current flow</x:v>
      </x:c>
      <x:c r="D9" s="22" t="str">
        <x:v>No stale promo/reward</x:v>
      </x:c>
      <x:c r="E9" s="22" t="str">
        <x:v>Source Matrix</x:v>
      </x:c>
      <x:c r="F9" s="22" t="str">
        <x:v>YMYL</x:v>
      </x:c>
    </x:row>
    <x:row r="10">
      <x:c r="A10" s="22" t="str">
        <x:v>Troubleshooting</x:v>
      </x:c>
      <x:c r="B10" s="22" t="str">
        <x:v>Solve problem first</x:v>
      </x:c>
      <x:c r="C10" s="22" t="str">
        <x:v>Safe support + escalation</x:v>
      </x:c>
      <x:c r="D10" s="22" t="str">
        <x:v>No bypass eKYC/NFC/OTP</x:v>
      </x:c>
      <x:c r="E10" s="22" t="str">
        <x:v>Execution Briefs</x:v>
      </x:c>
      <x:c r="F10" s="22" t="str">
        <x:v>Privacy</x:v>
      </x:c>
    </x:row>
    <x:row r="11">
      <x:c r="A11" s="22" t="str">
        <x:v>Git</x:v>
      </x:c>
      <x:c r="B11" s="22" t="str">
        <x:v>Use existing workflow</x:v>
      </x:c>
      <x:c r="C11" s="22" t="str">
        <x:v>Diff/checks/commit/push if authorized</x:v>
      </x:c>
      <x:c r="D11" s="22" t="str">
        <x:v>No force push/secrets</x:v>
      </x:c>
      <x:c r="E11" s="22" t="str">
        <x:v>Repo</x:v>
      </x:c>
      <x:c r="F11" s="22" t="str">
        <x:v>Report hash/status</x:v>
      </x:c>
    </x:row>
    <x:row r="12">
      <x:c r="A12" s="22" t="str">
        <x:v>Cloudflare</x:v>
      </x:c>
      <x:c r="B12" s="22" t="str">
        <x:v>Use existing deploy workflow</x:v>
      </x:c>
      <x:c r="C12" s="22" t="str">
        <x:v>Verify production when authorized</x:v>
      </x:c>
      <x:c r="D12" s="22" t="str">
        <x:v>No new project/DNS changes</x:v>
      </x:c>
      <x:c r="E12" s="22" t="str">
        <x:v>Repo</x:v>
      </x:c>
      <x:c r="F12" s="22" t="str">
        <x:v>Report status</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MB BANK EVERGREEN CONTENT ENGINE – OPERATING PROTOCOL</x:v>
      </x:c>
      <x:c r="B1" s="58"/>
      <x:c r="C1" s="58"/>
      <x:c r="D1" s="58"/>
      <x:c r="E1" s="58"/>
      <x:c r="F1" s="58"/>
      <x:c r="G1" s="58"/>
      <x:c r="H1" s="58"/>
    </x:row>
    <x:row r="2">
      <x:c r="A2" s="60" t="str">
        <x:v>Lệnh vận hành duy nhất: "Bắt đầu tạo bài mới MB Bank". Hệ thống tự chọn việc tiếp theo, kiểm gate, triển khai, kiểm tra, commit/deploy và ghi log.</x:v>
      </x:c>
      <x:c r="B2" s="60"/>
      <x:c r="C2" s="60"/>
      <x:c r="D2" s="60"/>
      <x:c r="E2" s="60"/>
      <x:c r="F2" s="60"/>
      <x:c r="G2" s="60"/>
      <x:c r="H2" s="60"/>
    </x:row>
    <x:row r="3">
      <x:c r="A3"/>
      <x:c r="B3"/>
      <x:c r="C3"/>
      <x:c r="D3"/>
      <x:c r="E3"/>
      <x:c r="F3"/>
      <x:c r="G3"/>
      <x:c r="H3"/>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engine doc / workbook</x:v>
      </x:c>
      <x:c r="D5" s="22" t="str">
        <x:v>Không hỏi user chọn topic nếu queue có Ready</x:v>
      </x:c>
      <x:c r="E5" s="22" t="str">
        <x:v>Context loaded</x:v>
      </x:c>
      <x:c r="F5" s="22" t="str">
        <x:v>Thiếu source-of-truth file</x:v>
      </x:c>
      <x:c r="G5" s="22" t="str">
        <x:v>Run Log: Started</x:v>
      </x:c>
      <x:c r="H5" s="22" t="str">
        <x:v>Codex</x:v>
      </x:c>
    </x:row>
    <x:row r="6">
      <x:c r="A6" s="22" t="n">
        <x:v>2</x:v>
      </x:c>
      <x:c r="B6" s="22" t="str">
        <x:v>Mở Next Action</x:v>
      </x:c>
      <x:c r="C6" s="22" t="str">
        <x:v>Next Action</x:v>
      </x:c>
      <x:c r="D6" s="22" t="str">
        <x:v>Có Asset ID → execute; DISCOVERY → discovery mode</x:v>
      </x:c>
      <x:c r="E6" s="22" t="str">
        <x:v>Selected item</x:v>
      </x:c>
      <x:c r="F6" s="22" t="str">
        <x:v>Conflict với uncommitted user changes</x:v>
      </x:c>
      <x:c r="G6" s="22" t="str">
        <x:v>Queue → In progress</x:v>
      </x:c>
      <x:c r="H6" s="22" t="str">
        <x:v>Codex</x:v>
      </x:c>
    </x:row>
    <x:row r="7">
      <x:c r="A7" s="22" t="n">
        <x:v>3</x:v>
      </x:c>
      <x:c r="B7" s="22" t="str">
        <x:v>Kiểm canonical/cannibalization</x:v>
      </x:c>
      <x:c r="C7" s="22" t="str">
        <x:v>Queue + current routes</x:v>
      </x:c>
      <x:c r="D7" s="22" t="str">
        <x:v>New URL / update / merge</x:v>
      </x:c>
      <x:c r="E7" s="22" t="str">
        <x:v>Execution decision</x:v>
      </x:c>
      <x:c r="F7" s="22" t="str">
        <x:v>Destructive routing conflict</x:v>
      </x:c>
      <x:c r="G7" s="22" t="str">
        <x:v>Decision in Run Log</x:v>
      </x:c>
      <x:c r="H7" s="22" t="str">
        <x:v>Codex</x:v>
      </x:c>
    </x:row>
    <x:row r="8">
      <x:c r="A8" s="22" t="n">
        <x:v>4</x:v>
      </x:c>
      <x:c r="B8" s="22" t="str">
        <x:v>Kiểm nguồn hiện hành</x:v>
      </x:c>
      <x:c r="C8" s="22" t="str">
        <x:v>Source Matrix + MB official</x:v>
      </x:c>
      <x:c r="D8" s="22" t="str">
        <x:v>Volatile claims must verify</x:v>
      </x:c>
      <x:c r="E8" s="22" t="str">
        <x:v>Evidence ready</x:v>
      </x:c>
      <x:c r="F8" s="22" t="str">
        <x:v>Required source unavailable/contradictory</x:v>
      </x:c>
      <x:c r="G8" s="22" t="str">
        <x:v>Last checked/source gate</x:v>
      </x:c>
      <x:c r="H8" s="22" t="str">
        <x:v>Codex</x:v>
      </x:c>
    </x:row>
    <x:row r="9">
      <x:c r="A9" s="22" t="n">
        <x:v>5</x:v>
      </x:c>
      <x:c r="B9" s="22" t="str">
        <x:v>Triển khai bằng UI hiện tại</x:v>
      </x:c>
      <x:c r="C9" s="22" t="str">
        <x:v>Execution Briefs + CTA Matrix + components</x:v>
      </x:c>
      <x:c r="D9" s="22" t="str">
        <x:v>Reuse components; no redesign</x:v>
      </x:c>
      <x:c r="E9" s="22" t="str">
        <x:v>Code/content changes</x:v>
      </x:c>
      <x:c r="F9" s="22" t="str">
        <x:v>Need new secret/permission</x:v>
      </x:c>
      <x:c r="G9" s="22" t="str">
        <x:v>Files/routes</x:v>
      </x:c>
      <x:c r="H9" s="22" t="str">
        <x:v>Codex</x:v>
      </x:c>
    </x:row>
    <x:row r="10">
      <x:c r="A10" s="22" t="n">
        <x:v>6</x:v>
      </x:c>
      <x:c r="B10" s="22" t="str">
        <x:v>Quality checks</x:v>
      </x:c>
      <x:c r="C10" s="22" t="str">
        <x:v>Project scripts</x:v>
      </x:c>
      <x:c r="D10" s="22" t="str">
        <x:v>Lint/typecheck/test/build</x:v>
      </x:c>
      <x:c r="E10" s="22" t="str">
        <x:v>Pass/fail evidence</x:v>
      </x:c>
      <x:c r="F10" s="22" t="str">
        <x:v>New error cannot be safely fixed</x:v>
      </x:c>
      <x:c r="G10" s="22" t="str">
        <x:v>Run Log checks</x:v>
      </x:c>
      <x:c r="H10" s="22" t="str">
        <x:v>Codex</x:v>
      </x:c>
    </x:row>
    <x:row r="11">
      <x:c r="A11" s="22" t="n">
        <x:v>7</x:v>
      </x:c>
      <x:c r="B11" s="22" t="str">
        <x:v>Git + deploy</x:v>
      </x:c>
      <x:c r="C11" s="22" t="str">
        <x:v>Existing GitHub/Cloudflare workflow</x:v>
      </x:c>
      <x:c r="D11" s="22" t="str">
        <x:v>Commit/push/deploy when authorized</x:v>
      </x:c>
      <x:c r="E11" s="22" t="str">
        <x:v>Production state</x:v>
      </x:c>
      <x:c r="F11" s="22" t="str">
        <x:v>Missing credentials</x:v>
      </x:c>
      <x:c r="G11" s="22" t="str">
        <x:v>Commit/deploy fields</x:v>
      </x:c>
      <x:c r="H11" s="22" t="str">
        <x:v>Codex</x:v>
      </x:c>
    </x:row>
    <x:row r="12">
      <x:c r="A12" s="22" t="n">
        <x:v>8</x:v>
      </x:c>
      <x:c r="B12" s="22" t="str">
        <x:v>Production verify</x:v>
      </x:c>
      <x:c r="C12" s="22" t="str">
        <x:v>1phutdangky.com</x:v>
      </x:c>
      <x:c r="D12" s="22" t="str">
        <x:v>URL/canonical/CTA/MBAT113/source/mobile/runtime</x:v>
      </x:c>
      <x:c r="E12" s="22" t="str">
        <x:v>Verified</x:v>
      </x:c>
      <x:c r="F12" s="22" t="str">
        <x:v>Serious regression</x:v>
      </x:c>
      <x:c r="G12" s="22" t="str">
        <x:v>Queue → Done/Blocked</x:v>
      </x:c>
      <x:c r="H12" s="22" t="str">
        <x:v>Codex</x:v>
      </x:c>
    </x:row>
    <x:row r="13">
      <x:c r="A13" s="22" t="n">
        <x:v>9</x:v>
      </x:c>
      <x:c r="B13" s="22" t="str">
        <x:v>Prepare next run</x:v>
      </x:c>
      <x:c r="C13" s="22" t="str">
        <x:v>Evergreen Queue</x:v>
      </x:c>
      <x:c r="D13" s="22" t="str">
        <x:v>Next command picks next Ready</x:v>
      </x:c>
      <x:c r="E13" s="22" t="str">
        <x:v>Engine ready</x:v>
      </x:c>
      <x:c r="F13" s="22" t="str">
        <x:v>No Ready items</x:v>
      </x:c>
      <x:c r="G13" s="22" t="str">
        <x:v>Discovery Mode</x:v>
      </x:c>
      <x:c r="H13" s="22" t="str">
        <x:v>Codex</x:v>
      </x:c>
    </x:row>
    <x:row r="14">
      <x:c r="A14" s="22" t="n">
        <x:v>10</x:v>
      </x:c>
      <x:c r="B14" s="22" t="str">
        <x:v>Discovery Mode</x:v>
      </x:c>
      <x:c r="C14" s="22" t="str">
        <x:v>Discovery Rules + Search Console + SERP + MB official</x:v>
      </x:c>
      <x:c r="D14" s="22" t="str">
        <x:v>Create 3–5 candidates, score, anti-cannibalization</x:v>
      </x:c>
      <x:c r="E14" s="22" t="str">
        <x:v>Append qualified items</x:v>
      </x:c>
      <x:c r="F14" s="22" t="str">
        <x:v>No qualified topic</x:v>
      </x:c>
      <x:c r="G14" s="22" t="str">
        <x:v>Log discovery</x:v>
      </x:c>
      <x:c r="H14" s="22" t="str">
        <x:v>Codex</x:v>
      </x:c>
    </x:row>
    <x:row r="15">
      <x:c r="A15"/>
      <x:c r="B15"/>
      <x:c r="C15"/>
      <x:c r="D15"/>
      <x:c r="E15"/>
      <x:c r="F15"/>
      <x:c r="G15"/>
      <x:c r="H15"/>
    </x:row>
    <x:row r="16">
      <x:c r="A16" s="67" t="str">
        <x:v>Non-negotiable rules</x:v>
      </x:c>
      <x:c r="B16" s="67"/>
      <x:c r="C16" s="67"/>
      <x:c r="D16" s="67"/>
      <x:c r="E16" s="67"/>
      <x:c r="F16" s="67"/>
      <x:c r="G16" s="67"/>
      <x:c r="H16" s="67"/>
    </x:row>
    <x:row r="17">
      <x:c r="A17" s="64" t="str">
        <x:v>One command</x:v>
      </x:c>
      <x:c r="B17" s="64" t="str">
        <x:v>Bắt đầu tạo bài mới MB Bank</x:v>
      </x:c>
      <x:c r="C17" s="22"/>
      <x:c r="D17" s="22"/>
      <x:c r="E17" s="22"/>
      <x:c r="F17" s="22"/>
      <x:c r="G17" s="22"/>
      <x:c r="H17" s="22"/>
    </x:row>
    <x:row r="18">
      <x:c r="A18" s="22" t="str">
        <x:v>Affiliate code</x:v>
      </x:c>
      <x:c r="B18" s="22" t="str">
        <x:v>MBAT113 only</x:v>
      </x:c>
      <x:c r="C18" s="22"/>
      <x:c r="D18" s="22"/>
      <x:c r="E18" s="22"/>
      <x:c r="F18" s="22"/>
      <x:c r="G18" s="22"/>
      <x:c r="H18" s="22"/>
    </x:row>
    <x:row r="19">
      <x:c r="A19" s="22" t="str">
        <x:v>No calendar dependency</x:v>
      </x:c>
      <x:c r="B19" s="22" t="str">
        <x:v>60-item schedule = initial backlog only</x:v>
      </x:c>
      <x:c r="C19" s="22"/>
      <x:c r="D19" s="22"/>
      <x:c r="E19" s="22"/>
      <x:c r="F19" s="22"/>
      <x:c r="G19" s="22"/>
      <x:c r="H19" s="22"/>
    </x:row>
    <x:row r="20">
      <x:c r="A20" s="22" t="str">
        <x:v>No forced URL</x:v>
      </x:c>
      <x:c r="B20" s="22" t="str">
        <x:v>Section/update counts as complete run</x:v>
      </x:c>
      <x:c r="C20" s="22"/>
      <x:c r="D20" s="22"/>
      <x:c r="E20" s="22"/>
      <x:c r="F20" s="22"/>
      <x:c r="G20" s="22"/>
      <x:c r="H20" s="22"/>
    </x:row>
    <x:row r="21">
      <x:c r="A21" s="22" t="str">
        <x:v>No user micromanagement</x:v>
      </x:c>
      <x:c r="B21" s="22" t="str">
        <x:v>Do not ask user to pick topic/title/URL when rules are sufficient</x:v>
      </x:c>
      <x:c r="C21" s="22"/>
      <x:c r="D21" s="22"/>
      <x:c r="E21" s="22"/>
      <x:c r="F21" s="22"/>
      <x:c r="G21" s="22"/>
      <x:c r="H21" s="22"/>
    </x:row>
    <x:row r="22">
      <x:c r="A22" s="22" t="str">
        <x:v>Source freshness</x:v>
      </x:c>
      <x:c r="B22" s="22" t="str">
        <x:v>Fees/age/referral benefit/App flow must use current official evidence</x:v>
      </x:c>
      <x:c r="C22" s="22"/>
      <x:c r="D22" s="22"/>
      <x:c r="E22" s="22"/>
      <x:c r="F22" s="22"/>
      <x:c r="G22" s="22"/>
      <x:c r="H22" s="22"/>
    </x:row>
    <x:row r="23">
      <x:c r="A23" s="22" t="str">
        <x:v>State persistence</x:v>
      </x:c>
      <x:c r="B23" s="22" t="str">
        <x:v>Every run updates Evergreen Queue + Run Log</x:v>
      </x:c>
      <x:c r="C23" s="22"/>
      <x:c r="D23" s="22"/>
      <x:c r="E23" s="22"/>
      <x:c r="F23" s="22"/>
      <x:c r="G23" s="22"/>
      <x:c r="H23" s="22"/>
    </x:row>
    <x:row r="24">
      <x:c r="A24" s="22" t="str">
        <x:v>UI preservation</x:v>
      </x:c>
      <x:c r="B24" s="22" t="str">
        <x:v>Keep current UI/design system</x:v>
      </x:c>
      <x:c r="C24" s="22"/>
      <x:c r="D24" s="22"/>
      <x:c r="E24" s="22"/>
      <x:c r="F24" s="22"/>
      <x:c r="G24" s="22"/>
      <x:c r="H24" s="22"/>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MB BANK CONTENT ENGINE</x:v>
      </x:c>
      <x:c r="B1" s="58"/>
      <x:c r="C1" s="58"/>
      <x:c r="D1" s="58"/>
      <x:c r="E1" s="58"/>
      <x:c r="F1" s="58"/>
      <x:c r="G1" s="58"/>
      <x:c r="H1" s="58"/>
      <x:c r="I1" s="58"/>
      <x:c r="J1" s="58"/>
      <x:c r="K1" s="58"/>
      <x:c r="L1" s="58"/>
      <x:c r="M1" s="58"/>
      <x:c r="N1" s="58"/>
      <x:c r="O1" s="58"/>
      <x:c r="P1" s="58"/>
      <x:c r="Q1" s="58"/>
      <x:c r="R1" s="58"/>
    </x:row>
    <x:row r="2">
      <x:c r="A2" s="60" t="str">
        <x:v>Queue không có ngày kết thúc. 60-item backlog là seed ban đầu. Khi hết Ready, Codex chạy Discovery Mode và append candidate mới.</x:v>
      </x:c>
      <x:c r="B2" s="60"/>
      <x:c r="C2" s="60"/>
      <x:c r="D2" s="60"/>
      <x:c r="E2" s="60"/>
      <x:c r="F2" s="60"/>
      <x:c r="G2" s="60"/>
      <x:c r="H2" s="60"/>
      <x:c r="I2" s="60"/>
      <x:c r="J2" s="60"/>
      <x:c r="K2" s="60"/>
      <x:c r="L2" s="60"/>
      <x:c r="M2" s="60"/>
      <x:c r="N2" s="60"/>
      <x:c r="O2" s="60"/>
      <x:c r="P2" s="60"/>
      <x:c r="Q2" s="60"/>
      <x:c r="R2" s="60"/>
    </x:row>
    <x:row r="3">
      <x:c r="A3"/>
      <x:c r="B3"/>
      <x:c r="C3"/>
      <x:c r="D3"/>
      <x:c r="E3"/>
      <x:c r="F3"/>
      <x:c r="G3"/>
      <x:c r="H3"/>
      <x:c r="I3"/>
      <x:c r="J3"/>
      <x:c r="K3"/>
      <x:c r="L3"/>
      <x:c r="M3"/>
      <x:c r="N3"/>
      <x:c r="O3"/>
      <x:c r="P3"/>
      <x:c r="Q3"/>
      <x:c r="R3"/>
    </x:row>
    <x:row r="4">
      <x:c r="A4" s="64" t="str">
        <x:v>Queue #</x:v>
      </x:c>
      <x:c r="B4" s="64" t="str">
        <x:v>Asset ID</x:v>
      </x:c>
      <x:c r="C4" s="64" t="str">
        <x:v>Topic / Task</x:v>
      </x:c>
      <x:c r="D4" s="64" t="str">
        <x:v>Cluster</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xmlns:x="http://schemas.openxmlformats.org/spreadsheetml/2006/main" r="L5" s="22" t="str">
        <x:v>Done</x:v>
      </x:c>
      <x:c r="M5" s="22" t="str">
        <x:v>Initial backlog / Item 1</x:v>
      </x:c>
      <x:c xmlns:x="http://schemas.openxmlformats.org/spreadsheetml/2006/main" r="N5" s="22" t="str">
        <x:v>2026-10-28</x:v>
      </x:c>
      <x:c xmlns:x="http://schemas.openxmlformats.org/spreadsheetml/2006/main" r="O5" s="22" t="str">
        <x:v>https://1phutdangky.com/mo-tai-khoan/mo-tai-khoan-mb-bank-online/</x:v>
      </x:c>
      <x:c xmlns:x="http://schemas.openxmlformats.org/spreadsheetml/2006/main" r="P5" s="22" t="str">
        <x:v>18ec8141c1e7e44ba7b641b9c8e4f7745d57130b</x:v>
      </x:c>
      <x:c xmlns:x="http://schemas.openxmlformats.org/spreadsheetml/2006/main" r="Q5" s="22" t="str">
        <x:v>Cloudflare Pages success 9f4c41dc-4d09-4390-8e8a-4a600e7d17b1; production verified 2026-10-28</x:v>
      </x:c>
      <x:c xmlns:x="http://schemas.openxmlformats.org/spreadsheetml/2006/main" r="R5" s="22" t="str">
        <x:v>Retained seeded first eligible P0 item. Updated existing account owner, not referral/card pages. Preserve approved title ending online, exact OneLink and MBAT113. No fixed reward claims or unpublished-route links.</x:v>
      </x:c>
    </x:row>
    <x:row r="6">
      <x:c r="A6" s="22" t="n">
        <x:v>2</x:v>
      </x:c>
      <x:c r="B6" s="22" t="str">
        <x:v>R-PILLAR</x:v>
      </x:c>
      <x:c r="C6" s="22" t="str">
        <x:v>Publish: Mã giới thiệu MB Bank MBAT113</x:v>
      </x:c>
      <x:c r="D6" s="22" t="str">
        <x:v>Referral</x:v>
      </x:c>
      <x:c r="E6" s="22" t="str">
        <x:v>Referral money intent</x:v>
      </x:c>
      <x:c r="F6" s="22" t="str">
        <x:v>New article</x:v>
      </x:c>
      <x:c xmlns:x="http://schemas.openxmlformats.org/spreadsheetml/2006/main" r="G6" s="22" t="str">
        <x:v>Create /mo-tai-khoan/ma-gioi-thieu-mb-bank/</x:v>
      </x:c>
      <x:c r="H6" s="22" t="str">
        <x:v>Pillar R</x:v>
      </x:c>
      <x:c r="I6" s="22" t="str">
        <x:v>Very High</x:v>
      </x:c>
      <x:c r="J6" s="22" t="str">
        <x:v>Current flow + S2/S7</x:v>
      </x:c>
      <x:c r="K6" s="22" t="str">
        <x:v>P0</x:v>
      </x:c>
      <x:c xmlns:x="http://schemas.openxmlformats.org/spreadsheetml/2006/main" r="L6" s="22" t="str">
        <x:v>Done</x:v>
      </x:c>
      <x:c r="M6" s="22" t="str">
        <x:v>Initial backlog / Item 2</x:v>
      </x:c>
      <x:c xmlns:x="http://schemas.openxmlformats.org/spreadsheetml/2006/main" r="N6" s="22" t="str">
        <x:v>2026-10-28</x:v>
      </x:c>
      <x:c xmlns:x="http://schemas.openxmlformats.org/spreadsheetml/2006/main" r="O6" s="22" t="str">
        <x:v>https://1phutdangky.com/mo-tai-khoan/ma-gioi-thieu-mb-bank/</x:v>
      </x:c>
      <x:c xmlns:x="http://schemas.openxmlformats.org/spreadsheetml/2006/main" r="P6" s="22" t="str">
        <x:v>23e10975c25df04a40a0910f59d7204809ebfa54</x:v>
      </x:c>
      <x:c xmlns:x="http://schemas.openxmlformats.org/spreadsheetml/2006/main" r="Q6" s="22" t="str">
        <x:v>Cloudflare Pages success 87b9ce08-3fa2-41ac-8d9b-d23e9f817f6f; production verified 2026-10-28</x:v>
      </x:c>
      <x:c xmlns:x="http://schemas.openxmlformats.org/spreadsheetml/2006/main" r="R6" s="22" t="str">
        <x:v>Published referral owner intent separately from Account; exact MBAT113 and approved OneLink reused. Official public guide field label verified; no fixed current screen order, autofill or reward guarantee. Official 2025 enrollment terms expired; payout date 2026 is not enrollment extension.</x:v>
      </x:c>
    </x:row>
    <x:row r="7">
      <x:c r="A7" s="22" t="n">
        <x:v>3</x:v>
      </x:c>
      <x:c r="B7" s="22"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xmlns:x="http://schemas.openxmlformats.org/spreadsheetml/2006/main" r="L7" s="22" t="str">
        <x:v>Done</x:v>
      </x:c>
      <x:c r="M7" s="22" t="str">
        <x:v>Initial backlog / Item 3</x:v>
      </x:c>
      <x:c xmlns:x="http://schemas.openxmlformats.org/spreadsheetml/2006/main" r="N7" s="22" t="str">
        <x:v>2026-10-29</x:v>
      </x:c>
      <x:c xmlns:x="http://schemas.openxmlformats.org/spreadsheetml/2006/main" r="O7" s="22" t="str">
        <x:v>https://1phutdangky.com/mo-tai-khoan/khong-dang-ky-duoc-mb-bank/</x:v>
      </x:c>
      <x:c xmlns:x="http://schemas.openxmlformats.org/spreadsheetml/2006/main" r="P7" s="22" t="str">
        <x:v>c6c1a23073d828e6028f9573f65af3c70eae0f3e</x:v>
      </x:c>
      <x:c xmlns:x="http://schemas.openxmlformats.org/spreadsheetml/2006/main" r="Q7" s="22" t="str">
        <x:v>Cloudflare Pages success 953b7adf-5f52-4156-9432-0acac84a8ad9; production verified 2026-10-29</x:v>
      </x:c>
      <x:c xmlns:x="http://schemas.openxmlformats.org/spreadsheetml/2006/main" r="R7" s="22" t="str">
        <x:v>Queue #3 only. New support hub covers OTP/camera/eKYC/NFC/existing information/App interruption; Account keeps brief bridge. Reuse UI; no top product card or sticky CTA. One shared affiliate action after solutions and MB247, near shared disclosure. No fixed error-code causes, retry timers or approval/reward claims.</x:v>
      </x:c>
    </x:row>
    <x:row r="8">
      <x:c r="A8" s="22" t="n">
        <x:v>4</x:v>
      </x:c>
      <x:c r="B8" s="22"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xmlns:x="http://schemas.openxmlformats.org/spreadsheetml/2006/main" r="L8" s="22" t="str">
        <x:v>In progress</x:v>
      </x:c>
      <x:c r="M8" s="22" t="str">
        <x:v>Initial backlog / Item 4</x:v>
      </x:c>
      <x:c xmlns:x="http://schemas.openxmlformats.org/spreadsheetml/2006/main" r="N8" s="22" t="str">
        <x:v>2026-10-29</x:v>
      </x:c>
      <x:c xmlns:x="http://schemas.openxmlformats.org/spreadsheetml/2006/main" r="O8" s="22" t="str">
        <x:v>https://1phutdangky.com/mo-tai-khoan/mo-tai-khoan-mb-bank-can-gi/</x:v>
      </x:c>
      <x:c r="P8" s="22"/>
      <x:c xmlns:x="http://schemas.openxmlformats.org/spreadsheetml/2006/main" r="Q8" s="22" t="str">
        <x:v>Pending push and existing Cloudflare deployment</x:v>
      </x:c>
      <x:c xmlns:x="http://schemas.openxmlformats.org/spreadsheetml/2006/main" r="R8" s="22" t="str">
        <x:v>Queue #4 only. Preparation/eligibility checklist; Account owns how-to/fees, Referral owns MBAT113, troubleshooting stays in support hub. One internal Account action after readiness guidance; contextual Referral link. Current law and live MB-owned store/terms sources support claims; no authenticated App-flow claims. Shared title visual/social images generated at build, no new cover asset.</x:v>
      </x:c>
    </x:row>
    <x:row r="9">
      <x:c r="A9" s="22" t="n">
        <x:v>5</x:v>
      </x:c>
      <x:c r="B9" s="22"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x:c r="O9" s="22"/>
      <x:c r="P9" s="22"/>
      <x:c r="Q9" s="22"/>
      <x:c r="R9" s="22" t="str">
        <x:v>YMYL</x:v>
      </x:c>
    </x:row>
    <x:row r="10">
      <x:c r="A10" s="22" t="n">
        <x:v>6</x:v>
      </x:c>
      <x:c r="B10" s="22"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x:c r="O10" s="22"/>
      <x:c r="P10" s="22"/>
      <x:c r="Q10" s="22"/>
      <x:c r="R10" s="22" t="str">
        <x:v>No bypass</x:v>
      </x:c>
    </x:row>
    <x:row r="11">
      <x:c r="A11" s="22" t="n">
        <x:v>7</x:v>
      </x:c>
      <x:c r="B11" s="22"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x:c r="O11" s="22"/>
      <x:c r="P11" s="22"/>
      <x:c r="Q11" s="22"/>
      <x:c r="R11" s="22" t="str">
        <x:v>No invented method</x:v>
      </x:c>
    </x:row>
    <x:row r="12">
      <x:c r="A12" s="22" t="n">
        <x:v>8</x:v>
      </x:c>
      <x:c r="B12" s="22"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x:c r="O12" s="22"/>
      <x:c r="P12" s="22"/>
      <x:c r="Q12" s="22"/>
      <x:c r="R12" s="22" t="str">
        <x:v>No reward guarantee</x:v>
      </x:c>
    </x:row>
    <x:row r="13">
      <x:c r="A13" s="22" t="n">
        <x:v>9</x:v>
      </x:c>
      <x:c r="B13" s="22"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x:c r="O13" s="22"/>
      <x:c r="P13" s="22"/>
      <x:c r="Q13" s="22"/>
      <x:c r="R13" s="22" t="str">
        <x:v>Prevent abandonment</x:v>
      </x:c>
    </x:row>
    <x:row r="14">
      <x:c r="A14" s="22" t="n">
        <x:v>10</x:v>
      </x:c>
      <x:c r="B14" s="22"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x:c r="O14" s="22"/>
      <x:c r="P14" s="22"/>
      <x:c r="Q14" s="22"/>
      <x:c r="R14" s="22" t="str">
        <x:v>Affiliate trust</x:v>
      </x:c>
    </x:row>
    <x:row r="15">
      <x:c r="A15" s="22" t="n">
        <x:v>11</x:v>
      </x:c>
      <x:c r="B15" s="22"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x:c r="O15" s="22"/>
      <x:c r="P15" s="22"/>
      <x:c r="Q15" s="22"/>
      <x:c r="R15" s="22" t="str">
        <x:v>Card owner</x:v>
      </x:c>
    </x:row>
    <x:row r="16">
      <x:c r="A16" s="22" t="n">
        <x:v>12</x:v>
      </x:c>
      <x:c r="B16" s="22"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x:c r="O16" s="22"/>
      <x:c r="P16" s="22"/>
      <x:c r="Q16" s="22"/>
      <x:c r="R16" s="22" t="str">
        <x:v>Avoid thin content</x:v>
      </x:c>
    </x:row>
    <x:row r="17">
      <x:c r="A17" s="22" t="n">
        <x:v>13</x:v>
      </x:c>
      <x:c r="B17" s="22"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x:c r="O17" s="22"/>
      <x:c r="P17" s="22"/>
      <x:c r="Q17" s="22"/>
      <x:c r="R17" s="22" t="str">
        <x:v>No blanket delivery</x:v>
      </x:c>
    </x:row>
    <x:row r="18">
      <x:c r="A18" s="22" t="n">
        <x:v>14</x:v>
      </x:c>
      <x:c r="B18" s="22"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x:c r="O18" s="22"/>
      <x:c r="P18" s="22"/>
      <x:c r="Q18" s="22"/>
      <x:c r="R18" s="22" t="str">
        <x:v>YMYL</x:v>
      </x:c>
    </x:row>
    <x:row r="19">
      <x:c r="A19" s="22" t="n">
        <x:v>15</x:v>
      </x:c>
      <x:c r="B19" s="22"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x:c r="O19" s="22"/>
      <x:c r="P19" s="22"/>
      <x:c r="Q19" s="22"/>
      <x:c r="R19" s="22" t="str">
        <x:v>No blanket free claim</x:v>
      </x:c>
    </x:row>
    <x:row r="20">
      <x:c r="A20" s="22" t="n">
        <x:v>16</x:v>
      </x:c>
      <x:c r="B20" s="22"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x:c r="O20" s="22"/>
      <x:c r="P20" s="22"/>
      <x:c r="Q20" s="22"/>
      <x:c r="R20" s="22" t="str">
        <x:v>No fixed time</x:v>
      </x:c>
    </x:row>
    <x:row r="21">
      <x:c r="A21" s="22" t="n">
        <x:v>17</x:v>
      </x:c>
      <x:c r="B21" s="22"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x:c r="O21" s="22"/>
      <x:c r="P21" s="22"/>
      <x:c r="Q21" s="22"/>
      <x:c r="R21" s="22" t="str">
        <x:v>Anti-phishing</x:v>
      </x:c>
    </x:row>
    <x:row r="22">
      <x:c r="A22" s="22" t="n">
        <x:v>18</x:v>
      </x:c>
      <x:c r="B22" s="22"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x:c r="O22" s="22"/>
      <x:c r="P22" s="22"/>
      <x:c r="Q22" s="22"/>
      <x:c r="R22" s="22" t="str">
        <x:v>Core conversion</x:v>
      </x:c>
    </x:row>
    <x:row r="23">
      <x:c r="A23" s="22" t="n">
        <x:v>19</x:v>
      </x:c>
      <x:c r="B23" s="22"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x:c r="O23" s="22"/>
      <x:c r="P23" s="22"/>
      <x:c r="Q23" s="22"/>
      <x:c r="R23" s="22" t="str">
        <x:v>Reduce errors</x:v>
      </x:c>
    </x:row>
    <x:row r="24">
      <x:c r="A24" s="22" t="n">
        <x:v>20</x:v>
      </x:c>
      <x:c r="B24" s="22"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x:c r="O24" s="22"/>
      <x:c r="P24" s="22"/>
      <x:c r="Q24" s="22"/>
      <x:c r="R24" s="22" t="str">
        <x:v>Reassurance</x:v>
      </x:c>
    </x:row>
    <x:row r="25">
      <x:c r="A25" s="22" t="n">
        <x:v>21</x:v>
      </x:c>
      <x:c r="B25" s="22"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x:c r="O25" s="22"/>
      <x:c r="P25" s="22"/>
      <x:c r="Q25" s="22"/>
      <x:c r="R25" s="22" t="str">
        <x:v>No unverified amount</x:v>
      </x:c>
    </x:row>
    <x:row r="26">
      <x:c r="A26" s="22" t="n">
        <x:v>22</x:v>
      </x:c>
      <x:c r="B26" s="22"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x:c r="O26" s="22"/>
      <x:c r="P26" s="22"/>
      <x:c r="Q26" s="22"/>
      <x:c r="R26" s="22" t="str">
        <x:v>High volatility</x:v>
      </x:c>
    </x:row>
    <x:row r="27">
      <x:c r="A27" s="22" t="n">
        <x:v>23</x:v>
      </x:c>
      <x:c r="B27" s="22"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x:c r="O27" s="22"/>
      <x:c r="P27" s="22"/>
      <x:c r="Q27" s="22"/>
      <x:c r="R27" s="22" t="str">
        <x:v>Trust</x:v>
      </x:c>
    </x:row>
    <x:row r="28">
      <x:c r="A28" s="22" t="n">
        <x:v>24</x:v>
      </x:c>
      <x:c r="B28" s="22"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x:c r="O28" s="22"/>
      <x:c r="P28" s="22"/>
      <x:c r="Q28" s="22"/>
      <x:c r="R28" s="22" t="str">
        <x:v>Never request OTP</x:v>
      </x:c>
    </x:row>
    <x:row r="29">
      <x:c r="A29" s="22" t="n">
        <x:v>25</x:v>
      </x:c>
      <x:c r="B29" s="22"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x:c r="O29" s="22"/>
      <x:c r="P29" s="22"/>
      <x:c r="Q29" s="22"/>
      <x:c r="R29" s="22" t="str">
        <x:v>No bypass</x:v>
      </x:c>
    </x:row>
    <x:row r="30">
      <x:c r="A30" s="22" t="n">
        <x:v>26</x:v>
      </x:c>
      <x:c r="B30" s="22"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x:c r="O30" s="22"/>
      <x:c r="P30" s="22"/>
      <x:c r="Q30" s="22"/>
      <x:c r="R30" s="22" t="str">
        <x:v>No data inference</x:v>
      </x:c>
    </x:row>
    <x:row r="31">
      <x:c r="A31" s="22" t="n">
        <x:v>27</x:v>
      </x:c>
      <x:c r="B31" s="22"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x:c r="O31" s="22"/>
      <x:c r="P31" s="22"/>
      <x:c r="Q31" s="22"/>
      <x:c r="R31" s="22" t="str">
        <x:v>Current requirements</x:v>
      </x:c>
    </x:row>
    <x:row r="32">
      <x:c r="A32" s="22" t="n">
        <x:v>28</x:v>
      </x:c>
      <x:c r="B32" s="22"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x:c r="O32" s="22"/>
      <x:c r="P32" s="22"/>
      <x:c r="Q32" s="22"/>
      <x:c r="R32" s="22" t="str">
        <x:v>Legal accuracy</x:v>
      </x:c>
    </x:row>
    <x:row r="33">
      <x:c r="A33" s="22" t="n">
        <x:v>29</x:v>
      </x:c>
      <x:c r="B33" s="22"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x:c r="O33" s="22"/>
      <x:c r="P33" s="22"/>
      <x:c r="Q33" s="22"/>
      <x:c r="R33" s="22" t="str">
        <x:v>Legal accuracy</x:v>
      </x:c>
    </x:row>
    <x:row r="34">
      <x:c r="A34" s="22" t="n">
        <x:v>30</x:v>
      </x:c>
      <x:c r="B34" s="22"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x:c r="O34" s="22"/>
      <x:c r="P34" s="22"/>
      <x:c r="Q34" s="22"/>
      <x:c r="R34" s="22" t="str">
        <x:v>No bypass</x:v>
      </x:c>
    </x:row>
    <x:row r="35">
      <x:c r="A35" s="22" t="n">
        <x:v>31</x:v>
      </x:c>
      <x:c r="B35" s="22"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x:c r="O35" s="22"/>
      <x:c r="P35" s="22"/>
      <x:c r="Q35" s="22"/>
      <x:c r="R35" s="22" t="str">
        <x:v>Keep consolidated</x:v>
      </x:c>
    </x:row>
    <x:row r="36">
      <x:c r="A36" s="22" t="n">
        <x:v>32</x:v>
      </x:c>
      <x:c r="B36" s="22"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x:c r="O36" s="22"/>
      <x:c r="P36" s="22"/>
      <x:c r="Q36" s="22"/>
      <x:c r="R36" s="22" t="str">
        <x:v>No blanket claim</x:v>
      </x:c>
    </x:row>
    <x:row r="37">
      <x:c r="A37" s="22" t="n">
        <x:v>33</x:v>
      </x:c>
      <x:c r="B37" s="22"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x:c r="O37" s="22"/>
      <x:c r="P37" s="22"/>
      <x:c r="Q37" s="22"/>
      <x:c r="R37" s="22" t="str">
        <x:v>Source required</x:v>
      </x:c>
    </x:row>
    <x:row r="38">
      <x:c r="A38" s="22" t="n">
        <x:v>34</x:v>
      </x:c>
      <x:c r="B38" s="22"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x:c r="O38" s="22"/>
      <x:c r="P38" s="22"/>
      <x:c r="Q38" s="22"/>
      <x:c r="R38" s="22" t="str">
        <x:v>Decision content</x:v>
      </x:c>
    </x:row>
    <x:row r="39">
      <x:c r="A39" s="22" t="n">
        <x:v>35</x:v>
      </x:c>
      <x:c r="B39" s="22"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x:c r="O39" s="22"/>
      <x:c r="P39" s="22"/>
      <x:c r="Q39" s="22"/>
      <x:c r="R39" s="22" t="str">
        <x:v>Trust layer</x:v>
      </x:c>
    </x:row>
    <x:row r="40">
      <x:c r="A40" s="22" t="n">
        <x:v>36</x:v>
      </x:c>
      <x:c r="B40" s="22"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x:c r="O40" s="22"/>
      <x:c r="P40" s="22"/>
      <x:c r="Q40" s="22"/>
      <x:c r="R40" s="22" t="str">
        <x:v>Anti-phishing</x:v>
      </x:c>
    </x:row>
    <x:row r="41">
      <x:c r="A41" s="22" t="n">
        <x:v>37</x:v>
      </x:c>
      <x:c r="B41" s="22"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x:c r="O41" s="22"/>
      <x:c r="P41" s="22"/>
      <x:c r="Q41" s="22"/>
      <x:c r="R41" s="22" t="str">
        <x:v>No sensitive info</x:v>
      </x:c>
    </x:row>
    <x:row r="42">
      <x:c r="A42" s="22" t="n">
        <x:v>38</x:v>
      </x:c>
      <x:c r="B42" s="22"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x:c r="O42" s="22"/>
      <x:c r="P42" s="22"/>
      <x:c r="Q42" s="22"/>
      <x:c r="R42" s="22" t="str">
        <x:v>No fake freshness</x:v>
      </x:c>
    </x:row>
    <x:row r="43">
      <x:c r="A43" s="22" t="n">
        <x:v>39</x:v>
      </x:c>
      <x:c r="B43" s="22"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x:c r="O43" s="22"/>
      <x:c r="P43" s="22"/>
      <x:c r="Q43" s="22"/>
      <x:c r="R43" s="22" t="str">
        <x:v>Commercial</x:v>
      </x:c>
    </x:row>
    <x:row r="44">
      <x:c r="A44" s="22" t="n">
        <x:v>40</x:v>
      </x:c>
      <x:c r="B44" s="22"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x:c r="O44" s="22"/>
      <x:c r="P44" s="22"/>
      <x:c r="Q44" s="22"/>
      <x:c r="R44" s="22" t="str">
        <x:v>Core funnel</x:v>
      </x:c>
    </x:row>
    <x:row r="45">
      <x:c r="A45" s="22" t="n">
        <x:v>41</x:v>
      </x:c>
      <x:c r="B45" s="22"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x:c r="O45" s="22"/>
      <x:c r="P45" s="22"/>
      <x:c r="Q45" s="22"/>
      <x:c r="R45" s="22" t="str">
        <x:v>No overlinking</x:v>
      </x:c>
    </x:row>
    <x:row r="46">
      <x:c r="A46" s="22" t="n">
        <x:v>42</x:v>
      </x:c>
      <x:c r="B46" s="22"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x:c r="O46" s="22"/>
      <x:c r="P46" s="22"/>
      <x:c r="Q46" s="22"/>
      <x:c r="R46" s="22" t="str">
        <x:v>Discovery refresh</x:v>
      </x:c>
    </x:row>
    <x:row r="47">
      <x:c r="A47" s="22" t="n">
        <x:v>43</x:v>
      </x:c>
      <x:c r="B47" s="22"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x:c r="O47" s="22"/>
      <x:c r="P47" s="22"/>
      <x:c r="Q47" s="22"/>
      <x:c r="R47" s="22" t="str">
        <x:v>Keep sourced</x:v>
      </x:c>
    </x:row>
    <x:row r="48">
      <x:c r="A48" s="22" t="n">
        <x:v>44</x:v>
      </x:c>
      <x:c r="B48" s="22"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x:c r="O48" s="22"/>
      <x:c r="P48" s="22"/>
      <x:c r="Q48" s="22"/>
      <x:c r="R48" s="22" t="str">
        <x:v>After C live</x:v>
      </x:c>
    </x:row>
    <x:row r="49">
      <x:c r="A49" s="22" t="n">
        <x:v>45</x:v>
      </x:c>
      <x:c r="B49" s="22"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x:c r="O49" s="22"/>
      <x:c r="P49" s="22"/>
      <x:c r="Q49" s="22"/>
      <x:c r="R49" s="22" t="str">
        <x:v>Discovery trigger</x:v>
      </x:c>
    </x:row>
    <x:row r="50">
      <x:c r="A50" s="22" t="n">
        <x:v>46</x:v>
      </x:c>
      <x:c r="B50" s="22"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x:c r="O50" s="22"/>
      <x:c r="P50" s="22"/>
      <x:c r="Q50" s="22"/>
      <x:c r="R50" s="22" t="str">
        <x:v>Reward source gate</x:v>
      </x:c>
    </x:row>
    <x:row r="51">
      <x:c r="A51" s="22" t="n">
        <x:v>47</x:v>
      </x:c>
      <x:c r="B51" s="22"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x:c r="O51" s="22"/>
      <x:c r="P51" s="22"/>
      <x:c r="Q51" s="22"/>
      <x:c r="R51" s="22" t="str">
        <x:v>Find real questions</x:v>
      </x:c>
    </x:row>
    <x:row r="52">
      <x:c r="A52" s="22" t="n">
        <x:v>48</x:v>
      </x:c>
      <x:c r="B52" s="22"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x:c r="O52" s="22"/>
      <x:c r="P52" s="22"/>
      <x:c r="Q52" s="22"/>
      <x:c r="R52" s="22" t="str">
        <x:v>Conversion opportunities</x:v>
      </x:c>
    </x:row>
    <x:row r="53">
      <x:c r="A53" s="22" t="n">
        <x:v>49</x:v>
      </x:c>
      <x:c r="B53" s="22"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x:c r="O53" s="22"/>
      <x:c r="P53" s="22"/>
      <x:c r="Q53" s="22"/>
      <x:c r="R53" s="22" t="str">
        <x:v>Product gaps</x:v>
      </x:c>
    </x:row>
    <x:row r="54">
      <x:c r="A54" s="22" t="n">
        <x:v>50</x:v>
      </x:c>
      <x:c r="B54" s="22"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x:c r="O54" s="22"/>
      <x:c r="P54" s="22"/>
      <x:c r="Q54" s="22"/>
      <x:c r="R54" s="22" t="str">
        <x:v>Merge overlaps</x:v>
      </x:c>
    </x:row>
    <x:row r="55">
      <x:c r="A55" s="22" t="n">
        <x:v>51</x:v>
      </x:c>
      <x:c r="B55" s="22"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x:c r="O55" s="22"/>
      <x:c r="P55" s="22"/>
      <x:c r="Q55" s="22"/>
      <x:c r="R55" s="22" t="str">
        <x:v>Protect money page</x:v>
      </x:c>
    </x:row>
    <x:row r="56">
      <x:c r="A56" s="22" t="n">
        <x:v>52</x:v>
      </x:c>
      <x:c r="B56" s="22"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x:c r="O56" s="22"/>
      <x:c r="P56" s="22"/>
      <x:c r="Q56" s="22"/>
      <x:c r="R56" s="22" t="str">
        <x:v>Protect owner</x:v>
      </x:c>
    </x:row>
    <x:row r="57">
      <x:c r="A57" s="22" t="n">
        <x:v>53</x:v>
      </x:c>
      <x:c r="B57" s="22"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x:c r="O57" s="22"/>
      <x:c r="P57" s="22"/>
      <x:c r="Q57" s="22"/>
      <x:c r="R57" s="22" t="str">
        <x:v>Answer-first</x:v>
      </x:c>
    </x:row>
    <x:row r="58">
      <x:c r="A58" s="22" t="n">
        <x:v>54</x:v>
      </x:c>
      <x:c r="B58" s="22"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x:c r="O58" s="22"/>
      <x:c r="P58" s="22"/>
      <x:c r="Q58" s="22"/>
      <x:c r="R58" s="22" t="str">
        <x:v>Conversion answers</x:v>
      </x:c>
    </x:row>
    <x:row r="59">
      <x:c r="A59" s="22" t="n">
        <x:v>55</x:v>
      </x:c>
      <x:c r="B59" s="22"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x:c r="O59" s="22"/>
      <x:c r="P59" s="22"/>
      <x:c r="Q59" s="22"/>
      <x:c r="R59" s="22" t="str">
        <x:v>Product answers</x:v>
      </x:c>
    </x:row>
    <x:row r="60">
      <x:c r="A60" s="22" t="n">
        <x:v>56</x:v>
      </x:c>
      <x:c r="B60" s="22"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x:c r="O60" s="22"/>
      <x:c r="P60" s="22"/>
      <x:c r="Q60" s="22"/>
      <x:c r="R60" s="22" t="str">
        <x:v>Avoid over-selling</x:v>
      </x:c>
    </x:row>
    <x:row r="61">
      <x:c r="A61" s="22" t="n">
        <x:v>57</x:v>
      </x:c>
      <x:c r="B61" s="22"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x:c r="O61" s="22"/>
      <x:c r="P61" s="22"/>
      <x:c r="Q61" s="22"/>
      <x:c r="R61" s="22" t="str">
        <x:v>Primary conversion</x:v>
      </x:c>
    </x:row>
    <x:row r="62">
      <x:c r="A62" s="22" t="n">
        <x:v>58</x:v>
      </x:c>
      <x:c r="B62" s="22"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x:c r="O62" s="22"/>
      <x:c r="P62" s="22"/>
      <x:c r="Q62" s="22"/>
      <x:c r="R62" s="22" t="str">
        <x:v>No visual regression</x:v>
      </x:c>
    </x:row>
    <x:row r="63">
      <x:c r="A63" s="22" t="n">
        <x:v>59</x:v>
      </x:c>
      <x:c r="B63" s="22"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x:c r="O63" s="22"/>
      <x:c r="P63" s="22"/>
      <x:c r="Q63" s="22"/>
      <x:c r="R63" s="22" t="str">
        <x:v>YMYL freshness</x:v>
      </x:c>
    </x:row>
    <x:row r="64">
      <x:c r="A64" s="22" t="n">
        <x:v>60</x:v>
      </x:c>
      <x:c r="B64" s="22"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x:c r="O64" s="22"/>
      <x:c r="P64" s="22"/>
      <x:c r="Q64" s="22"/>
      <x:c r="R64" s="22" t="str">
        <x:v>Append 3–5 candidates</x:v>
      </x:c>
    </x:row>
    <x:row r="65">
      <x:c r="A65" s="22" t="n">
        <x:v>61</x:v>
      </x:c>
      <x:c r="B65" s="22"/>
      <x:c r="C65" s="22"/>
      <x:c r="D65" s="22"/>
      <x:c r="E65" s="22"/>
      <x:c r="F65" s="22"/>
      <x:c r="G65" s="22"/>
      <x:c r="H65" s="22"/>
      <x:c r="I65" s="22"/>
      <x:c r="J65" s="22"/>
      <x:c r="K65" s="22"/>
      <x:c r="L65" s="22"/>
      <x:c r="M65" s="22"/>
      <x:c r="N65" s="22"/>
      <x:c r="O65" s="22"/>
      <x:c r="P65" s="22"/>
      <x:c r="Q65" s="22"/>
      <x:c r="R65" s="22"/>
    </x:row>
    <x:row r="66">
      <x:c r="A66" s="22" t="n">
        <x:v>62</x:v>
      </x:c>
      <x:c r="B66" s="22"/>
      <x:c r="C66" s="22"/>
      <x:c r="D66" s="22"/>
      <x:c r="E66" s="22"/>
      <x:c r="F66" s="22"/>
      <x:c r="G66" s="22"/>
      <x:c r="H66" s="22"/>
      <x:c r="I66" s="22"/>
      <x:c r="J66" s="22"/>
      <x:c r="K66" s="22"/>
      <x:c r="L66" s="22"/>
      <x:c r="M66" s="22"/>
      <x:c r="N66" s="22"/>
      <x:c r="O66" s="22"/>
      <x:c r="P66" s="22"/>
      <x:c r="Q66" s="22"/>
      <x:c r="R66" s="22"/>
    </x:row>
    <x:row r="67">
      <x:c r="A67" s="22" t="n">
        <x:v>63</x:v>
      </x:c>
      <x:c r="B67" s="22"/>
      <x:c r="C67" s="22"/>
      <x:c r="D67" s="22"/>
      <x:c r="E67" s="22"/>
      <x:c r="F67" s="22"/>
      <x:c r="G67" s="22"/>
      <x:c r="H67" s="22"/>
      <x:c r="I67" s="22"/>
      <x:c r="J67" s="22"/>
      <x:c r="K67" s="22"/>
      <x:c r="L67" s="22"/>
      <x:c r="M67" s="22"/>
      <x:c r="N67" s="22"/>
      <x:c r="O67" s="22"/>
      <x:c r="P67" s="22"/>
      <x:c r="Q67" s="22"/>
      <x:c r="R67" s="22"/>
    </x:row>
    <x:row r="68">
      <x:c r="A68" s="22" t="n">
        <x:v>64</x:v>
      </x:c>
      <x:c r="B68" s="22"/>
      <x:c r="C68" s="22"/>
      <x:c r="D68" s="22"/>
      <x:c r="E68" s="22"/>
      <x:c r="F68" s="22"/>
      <x:c r="G68" s="22"/>
      <x:c r="H68" s="22"/>
      <x:c r="I68" s="22"/>
      <x:c r="J68" s="22"/>
      <x:c r="K68" s="22"/>
      <x:c r="L68" s="22"/>
      <x:c r="M68" s="22"/>
      <x:c r="N68" s="22"/>
      <x:c r="O68" s="22"/>
      <x:c r="P68" s="22"/>
      <x:c r="Q68" s="22"/>
      <x:c r="R68" s="22"/>
    </x:row>
    <x:row r="69">
      <x:c r="A69" s="22" t="n">
        <x:v>65</x:v>
      </x:c>
      <x:c r="B69" s="22"/>
      <x:c r="C69" s="22"/>
      <x:c r="D69" s="22"/>
      <x:c r="E69" s="22"/>
      <x:c r="F69" s="22"/>
      <x:c r="G69" s="22"/>
      <x:c r="H69" s="22"/>
      <x:c r="I69" s="22"/>
      <x:c r="J69" s="22"/>
      <x:c r="K69" s="22"/>
      <x:c r="L69" s="22"/>
      <x:c r="M69" s="22"/>
      <x:c r="N69" s="22"/>
      <x:c r="O69" s="22"/>
      <x:c r="P69" s="22"/>
      <x:c r="Q69" s="22"/>
      <x:c r="R69" s="22"/>
    </x:row>
    <x:row r="70">
      <x:c r="A70" s="22" t="n">
        <x:v>66</x:v>
      </x:c>
      <x:c r="B70" s="22"/>
      <x:c r="C70" s="22"/>
      <x:c r="D70" s="22"/>
      <x:c r="E70" s="22"/>
      <x:c r="F70" s="22"/>
      <x:c r="G70" s="22"/>
      <x:c r="H70" s="22"/>
      <x:c r="I70" s="22"/>
      <x:c r="J70" s="22"/>
      <x:c r="K70" s="22"/>
      <x:c r="L70" s="22"/>
      <x:c r="M70" s="22"/>
      <x:c r="N70" s="22"/>
      <x:c r="O70" s="22"/>
      <x:c r="P70" s="22"/>
      <x:c r="Q70" s="22"/>
      <x:c r="R70" s="22"/>
    </x:row>
    <x:row r="71">
      <x:c r="A71" s="22" t="n">
        <x:v>67</x:v>
      </x:c>
      <x:c r="B71" s="22"/>
      <x:c r="C71" s="22"/>
      <x:c r="D71" s="22"/>
      <x:c r="E71" s="22"/>
      <x:c r="F71" s="22"/>
      <x:c r="G71" s="22"/>
      <x:c r="H71" s="22"/>
      <x:c r="I71" s="22"/>
      <x:c r="J71" s="22"/>
      <x:c r="K71" s="22"/>
      <x:c r="L71" s="22"/>
      <x:c r="M71" s="22"/>
      <x:c r="N71" s="22"/>
      <x:c r="O71" s="22"/>
      <x:c r="P71" s="22"/>
      <x:c r="Q71" s="22"/>
      <x:c r="R71" s="22"/>
    </x:row>
    <x:row r="72">
      <x:c r="A72" s="22" t="n">
        <x:v>68</x:v>
      </x:c>
      <x:c r="B72" s="22"/>
      <x:c r="C72" s="22"/>
      <x:c r="D72" s="22"/>
      <x:c r="E72" s="22"/>
      <x:c r="F72" s="22"/>
      <x:c r="G72" s="22"/>
      <x:c r="H72" s="22"/>
      <x:c r="I72" s="22"/>
      <x:c r="J72" s="22"/>
      <x:c r="K72" s="22"/>
      <x:c r="L72" s="22"/>
      <x:c r="M72" s="22"/>
      <x:c r="N72" s="22"/>
      <x:c r="O72" s="22"/>
      <x:c r="P72" s="22"/>
      <x:c r="Q72" s="22"/>
      <x:c r="R72" s="22"/>
    </x:row>
    <x:row r="73">
      <x:c r="A73" s="22" t="n">
        <x:v>69</x:v>
      </x:c>
      <x:c r="B73" s="22"/>
      <x:c r="C73" s="22"/>
      <x:c r="D73" s="22"/>
      <x:c r="E73" s="22"/>
      <x:c r="F73" s="22"/>
      <x:c r="G73" s="22"/>
      <x:c r="H73" s="22"/>
      <x:c r="I73" s="22"/>
      <x:c r="J73" s="22"/>
      <x:c r="K73" s="22"/>
      <x:c r="L73" s="22"/>
      <x:c r="M73" s="22"/>
      <x:c r="N73" s="22"/>
      <x:c r="O73" s="22"/>
      <x:c r="P73" s="22"/>
      <x:c r="Q73" s="22"/>
      <x:c r="R73" s="22"/>
    </x:row>
    <x:row r="74">
      <x:c r="A74" s="22" t="n">
        <x:v>70</x:v>
      </x:c>
      <x:c r="B74" s="22"/>
      <x:c r="C74" s="22"/>
      <x:c r="D74" s="22"/>
      <x:c r="E74" s="22"/>
      <x:c r="F74" s="22"/>
      <x:c r="G74" s="22"/>
      <x:c r="H74" s="22"/>
      <x:c r="I74" s="22"/>
      <x:c r="J74" s="22"/>
      <x:c r="K74" s="22"/>
      <x:c r="L74" s="22"/>
      <x:c r="M74" s="22"/>
      <x:c r="N74" s="22"/>
      <x:c r="O74" s="22"/>
      <x:c r="P74" s="22"/>
      <x:c r="Q74" s="22"/>
      <x:c r="R74" s="22"/>
    </x:row>
    <x:row r="75">
      <x:c r="A75" s="22" t="n">
        <x:v>71</x:v>
      </x:c>
      <x:c r="B75" s="22"/>
      <x:c r="C75" s="22"/>
      <x:c r="D75" s="22"/>
      <x:c r="E75" s="22"/>
      <x:c r="F75" s="22"/>
      <x:c r="G75" s="22"/>
      <x:c r="H75" s="22"/>
      <x:c r="I75" s="22"/>
      <x:c r="J75" s="22"/>
      <x:c r="K75" s="22"/>
      <x:c r="L75" s="22"/>
      <x:c r="M75" s="22"/>
      <x:c r="N75" s="22"/>
      <x:c r="O75" s="22"/>
      <x:c r="P75" s="22"/>
      <x:c r="Q75" s="22"/>
      <x:c r="R75" s="22"/>
    </x:row>
    <x:row r="76">
      <x:c r="A76" s="22" t="n">
        <x:v>72</x:v>
      </x:c>
      <x:c r="B76" s="22"/>
      <x:c r="C76" s="22"/>
      <x:c r="D76" s="22"/>
      <x:c r="E76" s="22"/>
      <x:c r="F76" s="22"/>
      <x:c r="G76" s="22"/>
      <x:c r="H76" s="22"/>
      <x:c r="I76" s="22"/>
      <x:c r="J76" s="22"/>
      <x:c r="K76" s="22"/>
      <x:c r="L76" s="22"/>
      <x:c r="M76" s="22"/>
      <x:c r="N76" s="22"/>
      <x:c r="O76" s="22"/>
      <x:c r="P76" s="22"/>
      <x:c r="Q76" s="22"/>
      <x:c r="R76" s="22"/>
    </x:row>
    <x:row r="77">
      <x:c r="A77" s="22" t="n">
        <x:v>73</x:v>
      </x:c>
      <x:c r="B77" s="22"/>
      <x:c r="C77" s="22"/>
      <x:c r="D77" s="22"/>
      <x:c r="E77" s="22"/>
      <x:c r="F77" s="22"/>
      <x:c r="G77" s="22"/>
      <x:c r="H77" s="22"/>
      <x:c r="I77" s="22"/>
      <x:c r="J77" s="22"/>
      <x:c r="K77" s="22"/>
      <x:c r="L77" s="22"/>
      <x:c r="M77" s="22"/>
      <x:c r="N77" s="22"/>
      <x:c r="O77" s="22"/>
      <x:c r="P77" s="22"/>
      <x:c r="Q77" s="22"/>
      <x:c r="R77" s="22"/>
    </x:row>
    <x:row r="78">
      <x:c r="A78" s="22" t="n">
        <x:v>74</x:v>
      </x:c>
      <x:c r="B78" s="22"/>
      <x:c r="C78" s="22"/>
      <x:c r="D78" s="22"/>
      <x:c r="E78" s="22"/>
      <x:c r="F78" s="22"/>
      <x:c r="G78" s="22"/>
      <x:c r="H78" s="22"/>
      <x:c r="I78" s="22"/>
      <x:c r="J78" s="22"/>
      <x:c r="K78" s="22"/>
      <x:c r="L78" s="22"/>
      <x:c r="M78" s="22"/>
      <x:c r="N78" s="22"/>
      <x:c r="O78" s="22"/>
      <x:c r="P78" s="22"/>
      <x:c r="Q78" s="22"/>
      <x:c r="R78" s="22"/>
    </x:row>
    <x:row r="79">
      <x:c r="A79" s="22" t="n">
        <x:v>75</x:v>
      </x:c>
      <x:c r="B79" s="22"/>
      <x:c r="C79" s="22"/>
      <x:c r="D79" s="22"/>
      <x:c r="E79" s="22"/>
      <x:c r="F79" s="22"/>
      <x:c r="G79" s="22"/>
      <x:c r="H79" s="22"/>
      <x:c r="I79" s="22"/>
      <x:c r="J79" s="22"/>
      <x:c r="K79" s="22"/>
      <x:c r="L79" s="22"/>
      <x:c r="M79" s="22"/>
      <x:c r="N79" s="22"/>
      <x:c r="O79" s="22"/>
      <x:c r="P79" s="22"/>
      <x:c r="Q79" s="22"/>
      <x:c r="R79" s="22"/>
    </x:row>
    <x:row r="80">
      <x:c r="A80" s="22" t="n">
        <x:v>76</x:v>
      </x:c>
      <x:c r="B80" s="22"/>
      <x:c r="C80" s="22"/>
      <x:c r="D80" s="22"/>
      <x:c r="E80" s="22"/>
      <x:c r="F80" s="22"/>
      <x:c r="G80" s="22"/>
      <x:c r="H80" s="22"/>
      <x:c r="I80" s="22"/>
      <x:c r="J80" s="22"/>
      <x:c r="K80" s="22"/>
      <x:c r="L80" s="22"/>
      <x:c r="M80" s="22"/>
      <x:c r="N80" s="22"/>
      <x:c r="O80" s="22"/>
      <x:c r="P80" s="22"/>
      <x:c r="Q80" s="22"/>
      <x:c r="R80" s="22"/>
    </x:row>
    <x:row r="81">
      <x:c r="A81" s="22" t="n">
        <x:v>77</x:v>
      </x:c>
      <x:c r="B81" s="22"/>
      <x:c r="C81" s="22"/>
      <x:c r="D81" s="22"/>
      <x:c r="E81" s="22"/>
      <x:c r="F81" s="22"/>
      <x:c r="G81" s="22"/>
      <x:c r="H81" s="22"/>
      <x:c r="I81" s="22"/>
      <x:c r="J81" s="22"/>
      <x:c r="K81" s="22"/>
      <x:c r="L81" s="22"/>
      <x:c r="M81" s="22"/>
      <x:c r="N81" s="22"/>
      <x:c r="O81" s="22"/>
      <x:c r="P81" s="22"/>
      <x:c r="Q81" s="22"/>
      <x:c r="R81" s="22"/>
    </x:row>
    <x:row r="82">
      <x:c r="A82" s="22" t="n">
        <x:v>78</x:v>
      </x:c>
      <x:c r="B82" s="22"/>
      <x:c r="C82" s="22"/>
      <x:c r="D82" s="22"/>
      <x:c r="E82" s="22"/>
      <x:c r="F82" s="22"/>
      <x:c r="G82" s="22"/>
      <x:c r="H82" s="22"/>
      <x:c r="I82" s="22"/>
      <x:c r="J82" s="22"/>
      <x:c r="K82" s="22"/>
      <x:c r="L82" s="22"/>
      <x:c r="M82" s="22"/>
      <x:c r="N82" s="22"/>
      <x:c r="O82" s="22"/>
      <x:c r="P82" s="22"/>
      <x:c r="Q82" s="22"/>
      <x:c r="R82" s="22"/>
    </x:row>
    <x:row r="83">
      <x:c r="A83" s="22" t="n">
        <x:v>79</x:v>
      </x:c>
      <x:c r="B83" s="22"/>
      <x:c r="C83" s="22"/>
      <x:c r="D83" s="22"/>
      <x:c r="E83" s="22"/>
      <x:c r="F83" s="22"/>
      <x:c r="G83" s="22"/>
      <x:c r="H83" s="22"/>
      <x:c r="I83" s="22"/>
      <x:c r="J83" s="22"/>
      <x:c r="K83" s="22"/>
      <x:c r="L83" s="22"/>
      <x:c r="M83" s="22"/>
      <x:c r="N83" s="22"/>
      <x:c r="O83" s="22"/>
      <x:c r="P83" s="22"/>
      <x:c r="Q83" s="22"/>
      <x:c r="R83" s="22"/>
    </x:row>
    <x:row r="84">
      <x:c r="A84" s="22" t="n">
        <x:v>80</x:v>
      </x:c>
      <x:c r="B84" s="22"/>
      <x:c r="C84" s="22"/>
      <x:c r="D84" s="22"/>
      <x:c r="E84" s="22"/>
      <x:c r="F84" s="22"/>
      <x:c r="G84" s="22"/>
      <x:c r="H84" s="22"/>
      <x:c r="I84" s="22"/>
      <x:c r="J84" s="22"/>
      <x:c r="K84" s="22"/>
      <x:c r="L84" s="22"/>
      <x:c r="M84" s="22"/>
      <x:c r="N84" s="22"/>
      <x:c r="O84" s="22"/>
      <x:c r="P84" s="22"/>
      <x:c r="Q84" s="22"/>
      <x:c r="R84" s="22"/>
    </x:row>
    <x:row r="85">
      <x:c r="A85" s="22" t="n">
        <x:v>81</x:v>
      </x:c>
      <x:c r="B85" s="22"/>
      <x:c r="C85" s="22"/>
      <x:c r="D85" s="22"/>
      <x:c r="E85" s="22"/>
      <x:c r="F85" s="22"/>
      <x:c r="G85" s="22"/>
      <x:c r="H85" s="22"/>
      <x:c r="I85" s="22"/>
      <x:c r="J85" s="22"/>
      <x:c r="K85" s="22"/>
      <x:c r="L85" s="22"/>
      <x:c r="M85" s="22"/>
      <x:c r="N85" s="22"/>
      <x:c r="O85" s="22"/>
      <x:c r="P85" s="22"/>
      <x:c r="Q85" s="22"/>
      <x:c r="R85" s="22"/>
    </x:row>
    <x:row r="86">
      <x:c r="A86" s="22" t="n">
        <x:v>82</x:v>
      </x:c>
      <x:c r="B86" s="22"/>
      <x:c r="C86" s="22"/>
      <x:c r="D86" s="22"/>
      <x:c r="E86" s="22"/>
      <x:c r="F86" s="22"/>
      <x:c r="G86" s="22"/>
      <x:c r="H86" s="22"/>
      <x:c r="I86" s="22"/>
      <x:c r="J86" s="22"/>
      <x:c r="K86" s="22"/>
      <x:c r="L86" s="22"/>
      <x:c r="M86" s="22"/>
      <x:c r="N86" s="22"/>
      <x:c r="O86" s="22"/>
      <x:c r="P86" s="22"/>
      <x:c r="Q86" s="22"/>
      <x:c r="R86" s="22"/>
    </x:row>
    <x:row r="87">
      <x:c r="A87" s="22" t="n">
        <x:v>83</x:v>
      </x:c>
      <x:c r="B87" s="22"/>
      <x:c r="C87" s="22"/>
      <x:c r="D87" s="22"/>
      <x:c r="E87" s="22"/>
      <x:c r="F87" s="22"/>
      <x:c r="G87" s="22"/>
      <x:c r="H87" s="22"/>
      <x:c r="I87" s="22"/>
      <x:c r="J87" s="22"/>
      <x:c r="K87" s="22"/>
      <x:c r="L87" s="22"/>
      <x:c r="M87" s="22"/>
      <x:c r="N87" s="22"/>
      <x:c r="O87" s="22"/>
      <x:c r="P87" s="22"/>
      <x:c r="Q87" s="22"/>
      <x:c r="R87" s="22"/>
    </x:row>
    <x:row r="88">
      <x:c r="A88" s="22" t="n">
        <x:v>84</x:v>
      </x:c>
      <x:c r="B88" s="22"/>
      <x:c r="C88" s="22"/>
      <x:c r="D88" s="22"/>
      <x:c r="E88" s="22"/>
      <x:c r="F88" s="22"/>
      <x:c r="G88" s="22"/>
      <x:c r="H88" s="22"/>
      <x:c r="I88" s="22"/>
      <x:c r="J88" s="22"/>
      <x:c r="K88" s="22"/>
      <x:c r="L88" s="22"/>
      <x:c r="M88" s="22"/>
      <x:c r="N88" s="22"/>
      <x:c r="O88" s="22"/>
      <x:c r="P88" s="22"/>
      <x:c r="Q88" s="22"/>
      <x:c r="R88" s="22"/>
    </x:row>
    <x:row r="89">
      <x:c r="A89" s="22" t="n">
        <x:v>85</x:v>
      </x:c>
      <x:c r="B89" s="22"/>
      <x:c r="C89" s="22"/>
      <x:c r="D89" s="22"/>
      <x:c r="E89" s="22"/>
      <x:c r="F89" s="22"/>
      <x:c r="G89" s="22"/>
      <x:c r="H89" s="22"/>
      <x:c r="I89" s="22"/>
      <x:c r="J89" s="22"/>
      <x:c r="K89" s="22"/>
      <x:c r="L89" s="22"/>
      <x:c r="M89" s="22"/>
      <x:c r="N89" s="22"/>
      <x:c r="O89" s="22"/>
      <x:c r="P89" s="22"/>
      <x:c r="Q89" s="22"/>
      <x:c r="R89" s="22"/>
    </x:row>
    <x:row r="90">
      <x:c r="A90" s="22" t="n">
        <x:v>86</x:v>
      </x:c>
      <x:c r="B90" s="22"/>
      <x:c r="C90" s="22"/>
      <x:c r="D90" s="22"/>
      <x:c r="E90" s="22"/>
      <x:c r="F90" s="22"/>
      <x:c r="G90" s="22"/>
      <x:c r="H90" s="22"/>
      <x:c r="I90" s="22"/>
      <x:c r="J90" s="22"/>
      <x:c r="K90" s="22"/>
      <x:c r="L90" s="22"/>
      <x:c r="M90" s="22"/>
      <x:c r="N90" s="22"/>
      <x:c r="O90" s="22"/>
      <x:c r="P90" s="22"/>
      <x:c r="Q90" s="22"/>
      <x:c r="R90" s="22"/>
    </x:row>
    <x:row r="91">
      <x:c r="A91" s="22" t="n">
        <x:v>87</x:v>
      </x:c>
      <x:c r="B91" s="22"/>
      <x:c r="C91" s="22"/>
      <x:c r="D91" s="22"/>
      <x:c r="E91" s="22"/>
      <x:c r="F91" s="22"/>
      <x:c r="G91" s="22"/>
      <x:c r="H91" s="22"/>
      <x:c r="I91" s="22"/>
      <x:c r="J91" s="22"/>
      <x:c r="K91" s="22"/>
      <x:c r="L91" s="22"/>
      <x:c r="M91" s="22"/>
      <x:c r="N91" s="22"/>
      <x:c r="O91" s="22"/>
      <x:c r="P91" s="22"/>
      <x:c r="Q91" s="22"/>
      <x:c r="R91" s="22"/>
    </x:row>
    <x:row r="92">
      <x:c r="A92" s="22" t="n">
        <x:v>88</x:v>
      </x:c>
      <x:c r="B92" s="22"/>
      <x:c r="C92" s="22"/>
      <x:c r="D92" s="22"/>
      <x:c r="E92" s="22"/>
      <x:c r="F92" s="22"/>
      <x:c r="G92" s="22"/>
      <x:c r="H92" s="22"/>
      <x:c r="I92" s="22"/>
      <x:c r="J92" s="22"/>
      <x:c r="K92" s="22"/>
      <x:c r="L92" s="22"/>
      <x:c r="M92" s="22"/>
      <x:c r="N92" s="22"/>
      <x:c r="O92" s="22"/>
      <x:c r="P92" s="22"/>
      <x:c r="Q92" s="22"/>
      <x:c r="R92" s="22"/>
    </x:row>
    <x:row r="93">
      <x:c r="A93" s="22" t="n">
        <x:v>89</x:v>
      </x:c>
      <x:c r="B93" s="22"/>
      <x:c r="C93" s="22"/>
      <x:c r="D93" s="22"/>
      <x:c r="E93" s="22"/>
      <x:c r="F93" s="22"/>
      <x:c r="G93" s="22"/>
      <x:c r="H93" s="22"/>
      <x:c r="I93" s="22"/>
      <x:c r="J93" s="22"/>
      <x:c r="K93" s="22"/>
      <x:c r="L93" s="22"/>
      <x:c r="M93" s="22"/>
      <x:c r="N93" s="22"/>
      <x:c r="O93" s="22"/>
      <x:c r="P93" s="22"/>
      <x:c r="Q93" s="22"/>
      <x:c r="R93" s="22"/>
    </x:row>
    <x:row r="94">
      <x:c r="A94" s="22" t="n">
        <x:v>90</x:v>
      </x:c>
      <x:c r="B94" s="22"/>
      <x:c r="C94" s="22"/>
      <x:c r="D94" s="22"/>
      <x:c r="E94" s="22"/>
      <x:c r="F94" s="22"/>
      <x:c r="G94" s="22"/>
      <x:c r="H94" s="22"/>
      <x:c r="I94" s="22"/>
      <x:c r="J94" s="22"/>
      <x:c r="K94" s="22"/>
      <x:c r="L94" s="22"/>
      <x:c r="M94" s="22"/>
      <x:c r="N94" s="22"/>
      <x:c r="O94" s="22"/>
      <x:c r="P94" s="22"/>
      <x:c r="Q94" s="22"/>
      <x:c r="R94" s="22"/>
    </x:row>
    <x:row r="95">
      <x:c r="A95" s="22" t="n">
        <x:v>91</x:v>
      </x:c>
      <x:c r="B95" s="22"/>
      <x:c r="C95" s="22"/>
      <x:c r="D95" s="22"/>
      <x:c r="E95" s="22"/>
      <x:c r="F95" s="22"/>
      <x:c r="G95" s="22"/>
      <x:c r="H95" s="22"/>
      <x:c r="I95" s="22"/>
      <x:c r="J95" s="22"/>
      <x:c r="K95" s="22"/>
      <x:c r="L95" s="22"/>
      <x:c r="M95" s="22"/>
      <x:c r="N95" s="22"/>
      <x:c r="O95" s="22"/>
      <x:c r="P95" s="22"/>
      <x:c r="Q95" s="22"/>
      <x:c r="R95" s="22"/>
    </x:row>
    <x:row r="96">
      <x:c r="A96" s="22" t="n">
        <x:v>92</x:v>
      </x:c>
      <x:c r="B96" s="22"/>
      <x:c r="C96" s="22"/>
      <x:c r="D96" s="22"/>
      <x:c r="E96" s="22"/>
      <x:c r="F96" s="22"/>
      <x:c r="G96" s="22"/>
      <x:c r="H96" s="22"/>
      <x:c r="I96" s="22"/>
      <x:c r="J96" s="22"/>
      <x:c r="K96" s="22"/>
      <x:c r="L96" s="22"/>
      <x:c r="M96" s="22"/>
      <x:c r="N96" s="22"/>
      <x:c r="O96" s="22"/>
      <x:c r="P96" s="22"/>
      <x:c r="Q96" s="22"/>
      <x:c r="R96" s="22"/>
    </x:row>
    <x:row r="97">
      <x:c r="A97" s="22" t="n">
        <x:v>93</x:v>
      </x:c>
      <x:c r="B97" s="22"/>
      <x:c r="C97" s="22"/>
      <x:c r="D97" s="22"/>
      <x:c r="E97" s="22"/>
      <x:c r="F97" s="22"/>
      <x:c r="G97" s="22"/>
      <x:c r="H97" s="22"/>
      <x:c r="I97" s="22"/>
      <x:c r="J97" s="22"/>
      <x:c r="K97" s="22"/>
      <x:c r="L97" s="22"/>
      <x:c r="M97" s="22"/>
      <x:c r="N97" s="22"/>
      <x:c r="O97" s="22"/>
      <x:c r="P97" s="22"/>
      <x:c r="Q97" s="22"/>
      <x:c r="R97" s="22"/>
    </x:row>
    <x:row r="98">
      <x:c r="A98" s="22" t="n">
        <x:v>94</x:v>
      </x:c>
      <x:c r="B98" s="22"/>
      <x:c r="C98" s="22"/>
      <x:c r="D98" s="22"/>
      <x:c r="E98" s="22"/>
      <x:c r="F98" s="22"/>
      <x:c r="G98" s="22"/>
      <x:c r="H98" s="22"/>
      <x:c r="I98" s="22"/>
      <x:c r="J98" s="22"/>
      <x:c r="K98" s="22"/>
      <x:c r="L98" s="22"/>
      <x:c r="M98" s="22"/>
      <x:c r="N98" s="22"/>
      <x:c r="O98" s="22"/>
      <x:c r="P98" s="22"/>
      <x:c r="Q98" s="22"/>
      <x:c r="R98" s="22"/>
    </x:row>
    <x:row r="99">
      <x:c r="A99" s="22" t="n">
        <x:v>95</x:v>
      </x:c>
      <x:c r="B99" s="22"/>
      <x:c r="C99" s="22"/>
      <x:c r="D99" s="22"/>
      <x:c r="E99" s="22"/>
      <x:c r="F99" s="22"/>
      <x:c r="G99" s="22"/>
      <x:c r="H99" s="22"/>
      <x:c r="I99" s="22"/>
      <x:c r="J99" s="22"/>
      <x:c r="K99" s="22"/>
      <x:c r="L99" s="22"/>
      <x:c r="M99" s="22"/>
      <x:c r="N99" s="22"/>
      <x:c r="O99" s="22"/>
      <x:c r="P99" s="22"/>
      <x:c r="Q99" s="22"/>
      <x:c r="R99" s="22"/>
    </x:row>
    <x:row r="100">
      <x:c r="A100" s="22" t="n">
        <x:v>96</x:v>
      </x:c>
      <x:c r="B100" s="22"/>
      <x:c r="C100" s="22"/>
      <x:c r="D100" s="22"/>
      <x:c r="E100" s="22"/>
      <x:c r="F100" s="22"/>
      <x:c r="G100" s="22"/>
      <x:c r="H100" s="22"/>
      <x:c r="I100" s="22"/>
      <x:c r="J100" s="22"/>
      <x:c r="K100" s="22"/>
      <x:c r="L100" s="22"/>
      <x:c r="M100" s="22"/>
      <x:c r="N100" s="22"/>
      <x:c r="O100" s="22"/>
      <x:c r="P100" s="22"/>
      <x:c r="Q100" s="22"/>
      <x:c r="R100" s="22"/>
    </x:row>
    <x:row r="101">
      <x:c r="A101" s="22" t="n">
        <x:v>97</x:v>
      </x:c>
      <x:c r="B101" s="22"/>
      <x:c r="C101" s="22"/>
      <x:c r="D101" s="22"/>
      <x:c r="E101" s="22"/>
      <x:c r="F101" s="22"/>
      <x:c r="G101" s="22"/>
      <x:c r="H101" s="22"/>
      <x:c r="I101" s="22"/>
      <x:c r="J101" s="22"/>
      <x:c r="K101" s="22"/>
      <x:c r="L101" s="22"/>
      <x:c r="M101" s="22"/>
      <x:c r="N101" s="22"/>
      <x:c r="O101" s="22"/>
      <x:c r="P101" s="22"/>
      <x:c r="Q101" s="22"/>
      <x:c r="R101" s="22"/>
    </x:row>
    <x:row r="102">
      <x:c r="A102" s="22" t="n">
        <x:v>98</x:v>
      </x:c>
      <x:c r="B102" s="22"/>
      <x:c r="C102" s="22"/>
      <x:c r="D102" s="22"/>
      <x:c r="E102" s="22"/>
      <x:c r="F102" s="22"/>
      <x:c r="G102" s="22"/>
      <x:c r="H102" s="22"/>
      <x:c r="I102" s="22"/>
      <x:c r="J102" s="22"/>
      <x:c r="K102" s="22"/>
      <x:c r="L102" s="22"/>
      <x:c r="M102" s="22"/>
      <x:c r="N102" s="22"/>
      <x:c r="O102" s="22"/>
      <x:c r="P102" s="22"/>
      <x:c r="Q102" s="22"/>
      <x:c r="R102" s="22"/>
    </x:row>
    <x:row r="103">
      <x:c r="A103" s="22" t="n">
        <x:v>99</x:v>
      </x:c>
      <x:c r="B103" s="22"/>
      <x:c r="C103" s="22"/>
      <x:c r="D103" s="22"/>
      <x:c r="E103" s="22"/>
      <x:c r="F103" s="22"/>
      <x:c r="G103" s="22"/>
      <x:c r="H103" s="22"/>
      <x:c r="I103" s="22"/>
      <x:c r="J103" s="22"/>
      <x:c r="K103" s="22"/>
      <x:c r="L103" s="22"/>
      <x:c r="M103" s="22"/>
      <x:c r="N103" s="22"/>
      <x:c r="O103" s="22"/>
      <x:c r="P103" s="22"/>
      <x:c r="Q103" s="22"/>
      <x:c r="R103" s="22"/>
    </x:row>
    <x:row r="104">
      <x:c r="A104" s="22" t="n">
        <x:v>100</x:v>
      </x:c>
      <x:c r="B104" s="22"/>
      <x:c r="C104" s="22"/>
      <x:c r="D104" s="22"/>
      <x:c r="E104" s="22"/>
      <x:c r="F104" s="22"/>
      <x:c r="G104" s="22"/>
      <x:c r="H104" s="22"/>
      <x:c r="I104" s="22"/>
      <x:c r="J104" s="22"/>
      <x:c r="K104" s="22"/>
      <x:c r="L104" s="22"/>
      <x:c r="M104" s="22"/>
      <x:c r="N104" s="22"/>
      <x:c r="O104" s="22"/>
      <x:c r="P104" s="22"/>
      <x:c r="Q104" s="22"/>
      <x:c r="R104" s="22"/>
    </x:row>
    <x:row r="105">
      <x:c r="A105" s="22" t="n">
        <x:v>101</x:v>
      </x:c>
      <x:c r="B105" s="22"/>
      <x:c r="C105" s="22"/>
      <x:c r="D105" s="22"/>
      <x:c r="E105" s="22"/>
      <x:c r="F105" s="22"/>
      <x:c r="G105" s="22"/>
      <x:c r="H105" s="22"/>
      <x:c r="I105" s="22"/>
      <x:c r="J105" s="22"/>
      <x:c r="K105" s="22"/>
      <x:c r="L105" s="22"/>
      <x:c r="M105" s="22"/>
      <x:c r="N105" s="22"/>
      <x:c r="O105" s="22"/>
      <x:c r="P105" s="22"/>
      <x:c r="Q105" s="22"/>
      <x:c r="R105" s="22"/>
    </x:row>
    <x:row r="106">
      <x:c r="A106" s="22" t="n">
        <x:v>102</x:v>
      </x:c>
      <x:c r="B106" s="22"/>
      <x:c r="C106" s="22"/>
      <x:c r="D106" s="22"/>
      <x:c r="E106" s="22"/>
      <x:c r="F106" s="22"/>
      <x:c r="G106" s="22"/>
      <x:c r="H106" s="22"/>
      <x:c r="I106" s="22"/>
      <x:c r="J106" s="22"/>
      <x:c r="K106" s="22"/>
      <x:c r="L106" s="22"/>
      <x:c r="M106" s="22"/>
      <x:c r="N106" s="22"/>
      <x:c r="O106" s="22"/>
      <x:c r="P106" s="22"/>
      <x:c r="Q106" s="22"/>
      <x:c r="R106" s="22"/>
    </x:row>
    <x:row r="107">
      <x:c r="A107" s="22" t="n">
        <x:v>103</x:v>
      </x:c>
      <x:c r="B107" s="22"/>
      <x:c r="C107" s="22"/>
      <x:c r="D107" s="22"/>
      <x:c r="E107" s="22"/>
      <x:c r="F107" s="22"/>
      <x:c r="G107" s="22"/>
      <x:c r="H107" s="22"/>
      <x:c r="I107" s="22"/>
      <x:c r="J107" s="22"/>
      <x:c r="K107" s="22"/>
      <x:c r="L107" s="22"/>
      <x:c r="M107" s="22"/>
      <x:c r="N107" s="22"/>
      <x:c r="O107" s="22"/>
      <x:c r="P107" s="22"/>
      <x:c r="Q107" s="22"/>
      <x:c r="R107" s="22"/>
    </x:row>
    <x:row r="108">
      <x:c r="A108" s="22" t="n">
        <x:v>104</x:v>
      </x:c>
      <x:c r="B108" s="22"/>
      <x:c r="C108" s="22"/>
      <x:c r="D108" s="22"/>
      <x:c r="E108" s="22"/>
      <x:c r="F108" s="22"/>
      <x:c r="G108" s="22"/>
      <x:c r="H108" s="22"/>
      <x:c r="I108" s="22"/>
      <x:c r="J108" s="22"/>
      <x:c r="K108" s="22"/>
      <x:c r="L108" s="22"/>
      <x:c r="M108" s="22"/>
      <x:c r="N108" s="22"/>
      <x:c r="O108" s="22"/>
      <x:c r="P108" s="22"/>
      <x:c r="Q108" s="22"/>
      <x:c r="R108" s="22"/>
    </x:row>
    <x:row r="109">
      <x:c r="A109" s="22" t="n">
        <x:v>105</x:v>
      </x:c>
      <x:c r="B109" s="22"/>
      <x:c r="C109" s="22"/>
      <x:c r="D109" s="22"/>
      <x:c r="E109" s="22"/>
      <x:c r="F109" s="22"/>
      <x:c r="G109" s="22"/>
      <x:c r="H109" s="22"/>
      <x:c r="I109" s="22"/>
      <x:c r="J109" s="22"/>
      <x:c r="K109" s="22"/>
      <x:c r="L109" s="22"/>
      <x:c r="M109" s="22"/>
      <x:c r="N109" s="22"/>
      <x:c r="O109" s="22"/>
      <x:c r="P109" s="22"/>
      <x:c r="Q109" s="22"/>
      <x:c r="R109" s="22"/>
    </x:row>
    <x:row r="110">
      <x:c r="A110" s="22" t="n">
        <x:v>106</x:v>
      </x:c>
      <x:c r="B110" s="22"/>
      <x:c r="C110" s="22"/>
      <x:c r="D110" s="22"/>
      <x:c r="E110" s="22"/>
      <x:c r="F110" s="22"/>
      <x:c r="G110" s="22"/>
      <x:c r="H110" s="22"/>
      <x:c r="I110" s="22"/>
      <x:c r="J110" s="22"/>
      <x:c r="K110" s="22"/>
      <x:c r="L110" s="22"/>
      <x:c r="M110" s="22"/>
      <x:c r="N110" s="22"/>
      <x:c r="O110" s="22"/>
      <x:c r="P110" s="22"/>
      <x:c r="Q110" s="22"/>
      <x:c r="R110" s="22"/>
    </x:row>
    <x:row r="111">
      <x:c r="A111" s="22" t="n">
        <x:v>107</x:v>
      </x:c>
      <x:c r="B111" s="22"/>
      <x:c r="C111" s="22"/>
      <x:c r="D111" s="22"/>
      <x:c r="E111" s="22"/>
      <x:c r="F111" s="22"/>
      <x:c r="G111" s="22"/>
      <x:c r="H111" s="22"/>
      <x:c r="I111" s="22"/>
      <x:c r="J111" s="22"/>
      <x:c r="K111" s="22"/>
      <x:c r="L111" s="22"/>
      <x:c r="M111" s="22"/>
      <x:c r="N111" s="22"/>
      <x:c r="O111" s="22"/>
      <x:c r="P111" s="22"/>
      <x:c r="Q111" s="22"/>
      <x:c r="R111" s="22"/>
    </x:row>
    <x:row r="112">
      <x:c r="A112" s="22" t="n">
        <x:v>108</x:v>
      </x:c>
      <x:c r="B112" s="22"/>
      <x:c r="C112" s="22"/>
      <x:c r="D112" s="22"/>
      <x:c r="E112" s="22"/>
      <x:c r="F112" s="22"/>
      <x:c r="G112" s="22"/>
      <x:c r="H112" s="22"/>
      <x:c r="I112" s="22"/>
      <x:c r="J112" s="22"/>
      <x:c r="K112" s="22"/>
      <x:c r="L112" s="22"/>
      <x:c r="M112" s="22"/>
      <x:c r="N112" s="22"/>
      <x:c r="O112" s="22"/>
      <x:c r="P112" s="22"/>
      <x:c r="Q112" s="22"/>
      <x:c r="R112" s="22"/>
    </x:row>
    <x:row r="113">
      <x:c r="A113" s="22" t="n">
        <x:v>109</x:v>
      </x:c>
      <x:c r="B113" s="22"/>
      <x:c r="C113" s="22"/>
      <x:c r="D113" s="22"/>
      <x:c r="E113" s="22"/>
      <x:c r="F113" s="22"/>
      <x:c r="G113" s="22"/>
      <x:c r="H113" s="22"/>
      <x:c r="I113" s="22"/>
      <x:c r="J113" s="22"/>
      <x:c r="K113" s="22"/>
      <x:c r="L113" s="22"/>
      <x:c r="M113" s="22"/>
      <x:c r="N113" s="22"/>
      <x:c r="O113" s="22"/>
      <x:c r="P113" s="22"/>
      <x:c r="Q113" s="22"/>
      <x:c r="R113" s="22"/>
    </x:row>
    <x:row r="114">
      <x:c r="A114" s="22" t="n">
        <x:v>110</x:v>
      </x:c>
      <x:c r="B114" s="22"/>
      <x:c r="C114" s="22"/>
      <x:c r="D114" s="22"/>
      <x:c r="E114" s="22"/>
      <x:c r="F114" s="22"/>
      <x:c r="G114" s="22"/>
      <x:c r="H114" s="22"/>
      <x:c r="I114" s="22"/>
      <x:c r="J114" s="22"/>
      <x:c r="K114" s="22"/>
      <x:c r="L114" s="22"/>
      <x:c r="M114" s="22"/>
      <x:c r="N114" s="22"/>
      <x:c r="O114" s="22"/>
      <x:c r="P114" s="22"/>
      <x:c r="Q114" s="22"/>
      <x:c r="R114" s="22"/>
    </x:row>
    <x:row r="115">
      <x:c r="A115" s="22" t="n">
        <x:v>111</x:v>
      </x:c>
      <x:c r="B115" s="22"/>
      <x:c r="C115" s="22"/>
      <x:c r="D115" s="22"/>
      <x:c r="E115" s="22"/>
      <x:c r="F115" s="22"/>
      <x:c r="G115" s="22"/>
      <x:c r="H115" s="22"/>
      <x:c r="I115" s="22"/>
      <x:c r="J115" s="22"/>
      <x:c r="K115" s="22"/>
      <x:c r="L115" s="22"/>
      <x:c r="M115" s="22"/>
      <x:c r="N115" s="22"/>
      <x:c r="O115" s="22"/>
      <x:c r="P115" s="22"/>
      <x:c r="Q115" s="22"/>
      <x:c r="R115" s="22"/>
    </x:row>
    <x:row r="116">
      <x:c r="A116" s="22" t="n">
        <x:v>112</x:v>
      </x:c>
      <x:c r="B116" s="22"/>
      <x:c r="C116" s="22"/>
      <x:c r="D116" s="22"/>
      <x:c r="E116" s="22"/>
      <x:c r="F116" s="22"/>
      <x:c r="G116" s="22"/>
      <x:c r="H116" s="22"/>
      <x:c r="I116" s="22"/>
      <x:c r="J116" s="22"/>
      <x:c r="K116" s="22"/>
      <x:c r="L116" s="22"/>
      <x:c r="M116" s="22"/>
      <x:c r="N116" s="22"/>
      <x:c r="O116" s="22"/>
      <x:c r="P116" s="22"/>
      <x:c r="Q116" s="22"/>
      <x:c r="R116" s="22"/>
    </x:row>
    <x:row r="117">
      <x:c r="A117" s="22" t="n">
        <x:v>113</x:v>
      </x:c>
      <x:c r="B117" s="22"/>
      <x:c r="C117" s="22"/>
      <x:c r="D117" s="22"/>
      <x:c r="E117" s="22"/>
      <x:c r="F117" s="22"/>
      <x:c r="G117" s="22"/>
      <x:c r="H117" s="22"/>
      <x:c r="I117" s="22"/>
      <x:c r="J117" s="22"/>
      <x:c r="K117" s="22"/>
      <x:c r="L117" s="22"/>
      <x:c r="M117" s="22"/>
      <x:c r="N117" s="22"/>
      <x:c r="O117" s="22"/>
      <x:c r="P117" s="22"/>
      <x:c r="Q117" s="22"/>
      <x:c r="R117" s="22"/>
    </x:row>
    <x:row r="118">
      <x:c r="A118" s="22" t="n">
        <x:v>114</x:v>
      </x:c>
      <x:c r="B118" s="22"/>
      <x:c r="C118" s="22"/>
      <x:c r="D118" s="22"/>
      <x:c r="E118" s="22"/>
      <x:c r="F118" s="22"/>
      <x:c r="G118" s="22"/>
      <x:c r="H118" s="22"/>
      <x:c r="I118" s="22"/>
      <x:c r="J118" s="22"/>
      <x:c r="K118" s="22"/>
      <x:c r="L118" s="22"/>
      <x:c r="M118" s="22"/>
      <x:c r="N118" s="22"/>
      <x:c r="O118" s="22"/>
      <x:c r="P118" s="22"/>
      <x:c r="Q118" s="22"/>
      <x:c r="R118" s="22"/>
    </x:row>
    <x:row r="119">
      <x:c r="A119" s="22" t="n">
        <x:v>115</x:v>
      </x:c>
      <x:c r="B119" s="22"/>
      <x:c r="C119" s="22"/>
      <x:c r="D119" s="22"/>
      <x:c r="E119" s="22"/>
      <x:c r="F119" s="22"/>
      <x:c r="G119" s="22"/>
      <x:c r="H119" s="22"/>
      <x:c r="I119" s="22"/>
      <x:c r="J119" s="22"/>
      <x:c r="K119" s="22"/>
      <x:c r="L119" s="22"/>
      <x:c r="M119" s="22"/>
      <x:c r="N119" s="22"/>
      <x:c r="O119" s="22"/>
      <x:c r="P119" s="22"/>
      <x:c r="Q119" s="22"/>
      <x:c r="R119" s="22"/>
    </x:row>
    <x:row r="120">
      <x:c r="A120" s="22" t="n">
        <x:v>116</x:v>
      </x:c>
      <x:c r="B120" s="22"/>
      <x:c r="C120" s="22"/>
      <x:c r="D120" s="22"/>
      <x:c r="E120" s="22"/>
      <x:c r="F120" s="22"/>
      <x:c r="G120" s="22"/>
      <x:c r="H120" s="22"/>
      <x:c r="I120" s="22"/>
      <x:c r="J120" s="22"/>
      <x:c r="K120" s="22"/>
      <x:c r="L120" s="22"/>
      <x:c r="M120" s="22"/>
      <x:c r="N120" s="22"/>
      <x:c r="O120" s="22"/>
      <x:c r="P120" s="22"/>
      <x:c r="Q120" s="22"/>
      <x:c r="R120" s="22"/>
    </x:row>
    <x:row r="121">
      <x:c r="A121" s="22" t="n">
        <x:v>117</x:v>
      </x:c>
      <x:c r="B121" s="22"/>
      <x:c r="C121" s="22"/>
      <x:c r="D121" s="22"/>
      <x:c r="E121" s="22"/>
      <x:c r="F121" s="22"/>
      <x:c r="G121" s="22"/>
      <x:c r="H121" s="22"/>
      <x:c r="I121" s="22"/>
      <x:c r="J121" s="22"/>
      <x:c r="K121" s="22"/>
      <x:c r="L121" s="22"/>
      <x:c r="M121" s="22"/>
      <x:c r="N121" s="22"/>
      <x:c r="O121" s="22"/>
      <x:c r="P121" s="22"/>
      <x:c r="Q121" s="22"/>
      <x:c r="R121" s="22"/>
    </x:row>
    <x:row r="122">
      <x:c r="A122" s="22" t="n">
        <x:v>118</x:v>
      </x:c>
      <x:c r="B122" s="22"/>
      <x:c r="C122" s="22"/>
      <x:c r="D122" s="22"/>
      <x:c r="E122" s="22"/>
      <x:c r="F122" s="22"/>
      <x:c r="G122" s="22"/>
      <x:c r="H122" s="22"/>
      <x:c r="I122" s="22"/>
      <x:c r="J122" s="22"/>
      <x:c r="K122" s="22"/>
      <x:c r="L122" s="22"/>
      <x:c r="M122" s="22"/>
      <x:c r="N122" s="22"/>
      <x:c r="O122" s="22"/>
      <x:c r="P122" s="22"/>
      <x:c r="Q122" s="22"/>
      <x:c r="R122" s="22"/>
    </x:row>
    <x:row r="123">
      <x:c r="A123" s="22" t="n">
        <x:v>119</x:v>
      </x:c>
      <x:c r="B123" s="22"/>
      <x:c r="C123" s="22"/>
      <x:c r="D123" s="22"/>
      <x:c r="E123" s="22"/>
      <x:c r="F123" s="22"/>
      <x:c r="G123" s="22"/>
      <x:c r="H123" s="22"/>
      <x:c r="I123" s="22"/>
      <x:c r="J123" s="22"/>
      <x:c r="K123" s="22"/>
      <x:c r="L123" s="22"/>
      <x:c r="M123" s="22"/>
      <x:c r="N123" s="22"/>
      <x:c r="O123" s="22"/>
      <x:c r="P123" s="22"/>
      <x:c r="Q123" s="22"/>
      <x:c r="R123" s="22"/>
    </x:row>
    <x:row r="124">
      <x:c r="A124" s="22" t="n">
        <x:v>120</x:v>
      </x:c>
      <x:c r="B124" s="22"/>
      <x:c r="C124" s="22"/>
      <x:c r="D124" s="22"/>
      <x:c r="E124" s="22"/>
      <x:c r="F124" s="22"/>
      <x:c r="G124" s="22"/>
      <x:c r="H124" s="22"/>
      <x:c r="I124" s="22"/>
      <x:c r="J124" s="22"/>
      <x:c r="K124" s="22"/>
      <x:c r="L124" s="22"/>
      <x:c r="M124" s="22"/>
      <x:c r="N124" s="22"/>
      <x:c r="O124" s="22"/>
      <x:c r="P124" s="22"/>
      <x:c r="Q124" s="22"/>
      <x:c r="R124" s="22"/>
    </x:row>
    <x:row r="125">
      <x:c r="A125" s="22" t="n">
        <x:v>121</x:v>
      </x:c>
      <x:c r="B125" s="22"/>
      <x:c r="C125" s="22"/>
      <x:c r="D125" s="22"/>
      <x:c r="E125" s="22"/>
      <x:c r="F125" s="22"/>
      <x:c r="G125" s="22"/>
      <x:c r="H125" s="22"/>
      <x:c r="I125" s="22"/>
      <x:c r="J125" s="22"/>
      <x:c r="K125" s="22"/>
      <x:c r="L125" s="22"/>
      <x:c r="M125" s="22"/>
      <x:c r="N125" s="22"/>
      <x:c r="O125" s="22"/>
      <x:c r="P125" s="22"/>
      <x:c r="Q125" s="22"/>
      <x:c r="R125" s="22"/>
    </x:row>
    <x:row r="126">
      <x:c r="A126" s="22" t="n">
        <x:v>122</x:v>
      </x:c>
      <x:c r="B126" s="22"/>
      <x:c r="C126" s="22"/>
      <x:c r="D126" s="22"/>
      <x:c r="E126" s="22"/>
      <x:c r="F126" s="22"/>
      <x:c r="G126" s="22"/>
      <x:c r="H126" s="22"/>
      <x:c r="I126" s="22"/>
      <x:c r="J126" s="22"/>
      <x:c r="K126" s="22"/>
      <x:c r="L126" s="22"/>
      <x:c r="M126" s="22"/>
      <x:c r="N126" s="22"/>
      <x:c r="O126" s="22"/>
      <x:c r="P126" s="22"/>
      <x:c r="Q126" s="22"/>
      <x:c r="R126" s="22"/>
    </x:row>
    <x:row r="127">
      <x:c r="A127" s="22" t="n">
        <x:v>123</x:v>
      </x:c>
      <x:c r="B127" s="22"/>
      <x:c r="C127" s="22"/>
      <x:c r="D127" s="22"/>
      <x:c r="E127" s="22"/>
      <x:c r="F127" s="22"/>
      <x:c r="G127" s="22"/>
      <x:c r="H127" s="22"/>
      <x:c r="I127" s="22"/>
      <x:c r="J127" s="22"/>
      <x:c r="K127" s="22"/>
      <x:c r="L127" s="22"/>
      <x:c r="M127" s="22"/>
      <x:c r="N127" s="22"/>
      <x:c r="O127" s="22"/>
      <x:c r="P127" s="22"/>
      <x:c r="Q127" s="22"/>
      <x:c r="R127" s="22"/>
    </x:row>
    <x:row r="128">
      <x:c r="A128" s="22" t="n">
        <x:v>124</x:v>
      </x:c>
      <x:c r="B128" s="22"/>
      <x:c r="C128" s="22"/>
      <x:c r="D128" s="22"/>
      <x:c r="E128" s="22"/>
      <x:c r="F128" s="22"/>
      <x:c r="G128" s="22"/>
      <x:c r="H128" s="22"/>
      <x:c r="I128" s="22"/>
      <x:c r="J128" s="22"/>
      <x:c r="K128" s="22"/>
      <x:c r="L128" s="22"/>
      <x:c r="M128" s="22"/>
      <x:c r="N128" s="22"/>
      <x:c r="O128" s="22"/>
      <x:c r="P128" s="22"/>
      <x:c r="Q128" s="22"/>
      <x:c r="R128" s="22"/>
    </x:row>
    <x:row r="129">
      <x:c r="A129" s="22" t="n">
        <x:v>125</x:v>
      </x:c>
      <x:c r="B129" s="22"/>
      <x:c r="C129" s="22"/>
      <x:c r="D129" s="22"/>
      <x:c r="E129" s="22"/>
      <x:c r="F129" s="22"/>
      <x:c r="G129" s="22"/>
      <x:c r="H129" s="22"/>
      <x:c r="I129" s="22"/>
      <x:c r="J129" s="22"/>
      <x:c r="K129" s="22"/>
      <x:c r="L129" s="22"/>
      <x:c r="M129" s="22"/>
      <x:c r="N129" s="22"/>
      <x:c r="O129" s="22"/>
      <x:c r="P129" s="22"/>
      <x:c r="Q129" s="22"/>
      <x:c r="R129" s="22"/>
    </x:row>
    <x:row r="130">
      <x:c r="A130" s="22" t="n">
        <x:v>126</x:v>
      </x:c>
      <x:c r="B130" s="22"/>
      <x:c r="C130" s="22"/>
      <x:c r="D130" s="22"/>
      <x:c r="E130" s="22"/>
      <x:c r="F130" s="22"/>
      <x:c r="G130" s="22"/>
      <x:c r="H130" s="22"/>
      <x:c r="I130" s="22"/>
      <x:c r="J130" s="22"/>
      <x:c r="K130" s="22"/>
      <x:c r="L130" s="22"/>
      <x:c r="M130" s="22"/>
      <x:c r="N130" s="22"/>
      <x:c r="O130" s="22"/>
      <x:c r="P130" s="22"/>
      <x:c r="Q130" s="22"/>
      <x:c r="R130" s="22"/>
    </x:row>
    <x:row r="131">
      <x:c r="A131" s="22" t="n">
        <x:v>127</x:v>
      </x:c>
      <x:c r="B131" s="22"/>
      <x:c r="C131" s="22"/>
      <x:c r="D131" s="22"/>
      <x:c r="E131" s="22"/>
      <x:c r="F131" s="22"/>
      <x:c r="G131" s="22"/>
      <x:c r="H131" s="22"/>
      <x:c r="I131" s="22"/>
      <x:c r="J131" s="22"/>
      <x:c r="K131" s="22"/>
      <x:c r="L131" s="22"/>
      <x:c r="M131" s="22"/>
      <x:c r="N131" s="22"/>
      <x:c r="O131" s="22"/>
      <x:c r="P131" s="22"/>
      <x:c r="Q131" s="22"/>
      <x:c r="R131" s="22"/>
    </x:row>
    <x:row r="132">
      <x:c r="A132" s="22" t="n">
        <x:v>128</x:v>
      </x:c>
      <x:c r="B132" s="22"/>
      <x:c r="C132" s="22"/>
      <x:c r="D132" s="22"/>
      <x:c r="E132" s="22"/>
      <x:c r="F132" s="22"/>
      <x:c r="G132" s="22"/>
      <x:c r="H132" s="22"/>
      <x:c r="I132" s="22"/>
      <x:c r="J132" s="22"/>
      <x:c r="K132" s="22"/>
      <x:c r="L132" s="22"/>
      <x:c r="M132" s="22"/>
      <x:c r="N132" s="22"/>
      <x:c r="O132" s="22"/>
      <x:c r="P132" s="22"/>
      <x:c r="Q132" s="22"/>
      <x:c r="R132" s="22"/>
    </x:row>
    <x:row r="133">
      <x:c r="A133" s="22" t="n">
        <x:v>129</x:v>
      </x:c>
      <x:c r="B133" s="22"/>
      <x:c r="C133" s="22"/>
      <x:c r="D133" s="22"/>
      <x:c r="E133" s="22"/>
      <x:c r="F133" s="22"/>
      <x:c r="G133" s="22"/>
      <x:c r="H133" s="22"/>
      <x:c r="I133" s="22"/>
      <x:c r="J133" s="22"/>
      <x:c r="K133" s="22"/>
      <x:c r="L133" s="22"/>
      <x:c r="M133" s="22"/>
      <x:c r="N133" s="22"/>
      <x:c r="O133" s="22"/>
      <x:c r="P133" s="22"/>
      <x:c r="Q133" s="22"/>
      <x:c r="R133" s="22"/>
    </x:row>
    <x:row r="134">
      <x:c r="A134" s="22" t="n">
        <x:v>130</x:v>
      </x:c>
      <x:c r="B134" s="22"/>
      <x:c r="C134" s="22"/>
      <x:c r="D134" s="22"/>
      <x:c r="E134" s="22"/>
      <x:c r="F134" s="22"/>
      <x:c r="G134" s="22"/>
      <x:c r="H134" s="22"/>
      <x:c r="I134" s="22"/>
      <x:c r="J134" s="22"/>
      <x:c r="K134" s="22"/>
      <x:c r="L134" s="22"/>
      <x:c r="M134" s="22"/>
      <x:c r="N134" s="22"/>
      <x:c r="O134" s="22"/>
      <x:c r="P134" s="22"/>
      <x:c r="Q134" s="22"/>
      <x:c r="R134" s="22"/>
    </x:row>
    <x:row r="135">
      <x:c r="A135" s="22" t="n">
        <x:v>131</x:v>
      </x:c>
      <x:c r="B135" s="22"/>
      <x:c r="C135" s="22"/>
      <x:c r="D135" s="22"/>
      <x:c r="E135" s="22"/>
      <x:c r="F135" s="22"/>
      <x:c r="G135" s="22"/>
      <x:c r="H135" s="22"/>
      <x:c r="I135" s="22"/>
      <x:c r="J135" s="22"/>
      <x:c r="K135" s="22"/>
      <x:c r="L135" s="22"/>
      <x:c r="M135" s="22"/>
      <x:c r="N135" s="22"/>
      <x:c r="O135" s="22"/>
      <x:c r="P135" s="22"/>
      <x:c r="Q135" s="22"/>
      <x:c r="R135" s="22"/>
    </x:row>
    <x:row r="136">
      <x:c r="A136" s="22" t="n">
        <x:v>132</x:v>
      </x:c>
      <x:c r="B136" s="22"/>
      <x:c r="C136" s="22"/>
      <x:c r="D136" s="22"/>
      <x:c r="E136" s="22"/>
      <x:c r="F136" s="22"/>
      <x:c r="G136" s="22"/>
      <x:c r="H136" s="22"/>
      <x:c r="I136" s="22"/>
      <x:c r="J136" s="22"/>
      <x:c r="K136" s="22"/>
      <x:c r="L136" s="22"/>
      <x:c r="M136" s="22"/>
      <x:c r="N136" s="22"/>
      <x:c r="O136" s="22"/>
      <x:c r="P136" s="22"/>
      <x:c r="Q136" s="22"/>
      <x:c r="R136" s="22"/>
    </x:row>
    <x:row r="137">
      <x:c r="A137" s="22" t="n">
        <x:v>133</x:v>
      </x:c>
      <x:c r="B137" s="22"/>
      <x:c r="C137" s="22"/>
      <x:c r="D137" s="22"/>
      <x:c r="E137" s="22"/>
      <x:c r="F137" s="22"/>
      <x:c r="G137" s="22"/>
      <x:c r="H137" s="22"/>
      <x:c r="I137" s="22"/>
      <x:c r="J137" s="22"/>
      <x:c r="K137" s="22"/>
      <x:c r="L137" s="22"/>
      <x:c r="M137" s="22"/>
      <x:c r="N137" s="22"/>
      <x:c r="O137" s="22"/>
      <x:c r="P137" s="22"/>
      <x:c r="Q137" s="22"/>
      <x:c r="R137" s="22"/>
    </x:row>
    <x:row r="138">
      <x:c r="A138" s="22" t="n">
        <x:v>134</x:v>
      </x:c>
      <x:c r="B138" s="22"/>
      <x:c r="C138" s="22"/>
      <x:c r="D138" s="22"/>
      <x:c r="E138" s="22"/>
      <x:c r="F138" s="22"/>
      <x:c r="G138" s="22"/>
      <x:c r="H138" s="22"/>
      <x:c r="I138" s="22"/>
      <x:c r="J138" s="22"/>
      <x:c r="K138" s="22"/>
      <x:c r="L138" s="22"/>
      <x:c r="M138" s="22"/>
      <x:c r="N138" s="22"/>
      <x:c r="O138" s="22"/>
      <x:c r="P138" s="22"/>
      <x:c r="Q138" s="22"/>
      <x:c r="R138" s="22"/>
    </x:row>
    <x:row r="139">
      <x:c r="A139" s="22" t="n">
        <x:v>135</x:v>
      </x:c>
      <x:c r="B139" s="22"/>
      <x:c r="C139" s="22"/>
      <x:c r="D139" s="22"/>
      <x:c r="E139" s="22"/>
      <x:c r="F139" s="22"/>
      <x:c r="G139" s="22"/>
      <x:c r="H139" s="22"/>
      <x:c r="I139" s="22"/>
      <x:c r="J139" s="22"/>
      <x:c r="K139" s="22"/>
      <x:c r="L139" s="22"/>
      <x:c r="M139" s="22"/>
      <x:c r="N139" s="22"/>
      <x:c r="O139" s="22"/>
      <x:c r="P139" s="22"/>
      <x:c r="Q139" s="22"/>
      <x:c r="R139" s="22"/>
    </x:row>
    <x:row r="140">
      <x:c r="A140" s="22" t="n">
        <x:v>136</x:v>
      </x:c>
      <x:c r="B140" s="22"/>
      <x:c r="C140" s="22"/>
      <x:c r="D140" s="22"/>
      <x:c r="E140" s="22"/>
      <x:c r="F140" s="22"/>
      <x:c r="G140" s="22"/>
      <x:c r="H140" s="22"/>
      <x:c r="I140" s="22"/>
      <x:c r="J140" s="22"/>
      <x:c r="K140" s="22"/>
      <x:c r="L140" s="22"/>
      <x:c r="M140" s="22"/>
      <x:c r="N140" s="22"/>
      <x:c r="O140" s="22"/>
      <x:c r="P140" s="22"/>
      <x:c r="Q140" s="22"/>
      <x:c r="R140" s="22"/>
    </x:row>
    <x:row r="141">
      <x:c r="A141" s="22" t="n">
        <x:v>137</x:v>
      </x:c>
      <x:c r="B141" s="22"/>
      <x:c r="C141" s="22"/>
      <x:c r="D141" s="22"/>
      <x:c r="E141" s="22"/>
      <x:c r="F141" s="22"/>
      <x:c r="G141" s="22"/>
      <x:c r="H141" s="22"/>
      <x:c r="I141" s="22"/>
      <x:c r="J141" s="22"/>
      <x:c r="K141" s="22"/>
      <x:c r="L141" s="22"/>
      <x:c r="M141" s="22"/>
      <x:c r="N141" s="22"/>
      <x:c r="O141" s="22"/>
      <x:c r="P141" s="22"/>
      <x:c r="Q141" s="22"/>
      <x:c r="R141" s="22"/>
    </x:row>
    <x:row r="142">
      <x:c r="A142" s="22" t="n">
        <x:v>138</x:v>
      </x:c>
      <x:c r="B142" s="22"/>
      <x:c r="C142" s="22"/>
      <x:c r="D142" s="22"/>
      <x:c r="E142" s="22"/>
      <x:c r="F142" s="22"/>
      <x:c r="G142" s="22"/>
      <x:c r="H142" s="22"/>
      <x:c r="I142" s="22"/>
      <x:c r="J142" s="22"/>
      <x:c r="K142" s="22"/>
      <x:c r="L142" s="22"/>
      <x:c r="M142" s="22"/>
      <x:c r="N142" s="22"/>
      <x:c r="O142" s="22"/>
      <x:c r="P142" s="22"/>
      <x:c r="Q142" s="22"/>
      <x:c r="R142" s="22"/>
    </x:row>
    <x:row r="143">
      <x:c r="A143" s="22" t="n">
        <x:v>139</x:v>
      </x:c>
      <x:c r="B143" s="22"/>
      <x:c r="C143" s="22"/>
      <x:c r="D143" s="22"/>
      <x:c r="E143" s="22"/>
      <x:c r="F143" s="22"/>
      <x:c r="G143" s="22"/>
      <x:c r="H143" s="22"/>
      <x:c r="I143" s="22"/>
      <x:c r="J143" s="22"/>
      <x:c r="K143" s="22"/>
      <x:c r="L143" s="22"/>
      <x:c r="M143" s="22"/>
      <x:c r="N143" s="22"/>
      <x:c r="O143" s="22"/>
      <x:c r="P143" s="22"/>
      <x:c r="Q143" s="22"/>
      <x:c r="R143" s="22"/>
    </x:row>
    <x:row r="144">
      <x:c r="A144" s="22" t="n">
        <x:v>140</x:v>
      </x:c>
      <x:c r="B144" s="22"/>
      <x:c r="C144" s="22"/>
      <x:c r="D144" s="22"/>
      <x:c r="E144" s="22"/>
      <x:c r="F144" s="22"/>
      <x:c r="G144" s="22"/>
      <x:c r="H144" s="22"/>
      <x:c r="I144" s="22"/>
      <x:c r="J144" s="22"/>
      <x:c r="K144" s="22"/>
      <x:c r="L144" s="22"/>
      <x:c r="M144" s="22"/>
      <x:c r="N144" s="22"/>
      <x:c r="O144" s="22"/>
      <x:c r="P144" s="22"/>
      <x:c r="Q144" s="22"/>
      <x:c r="R144" s="22"/>
    </x:row>
    <x:row r="145">
      <x:c r="A145" s="22" t="n">
        <x:v>141</x:v>
      </x:c>
      <x:c r="B145" s="22"/>
      <x:c r="C145" s="22"/>
      <x:c r="D145" s="22"/>
      <x:c r="E145" s="22"/>
      <x:c r="F145" s="22"/>
      <x:c r="G145" s="22"/>
      <x:c r="H145" s="22"/>
      <x:c r="I145" s="22"/>
      <x:c r="J145" s="22"/>
      <x:c r="K145" s="22"/>
      <x:c r="L145" s="22"/>
      <x:c r="M145" s="22"/>
      <x:c r="N145" s="22"/>
      <x:c r="O145" s="22"/>
      <x:c r="P145" s="22"/>
      <x:c r="Q145" s="22"/>
      <x:c r="R145" s="22"/>
    </x:row>
    <x:row r="146">
      <x:c r="A146" s="22" t="n">
        <x:v>142</x:v>
      </x:c>
      <x:c r="B146" s="22"/>
      <x:c r="C146" s="22"/>
      <x:c r="D146" s="22"/>
      <x:c r="E146" s="22"/>
      <x:c r="F146" s="22"/>
      <x:c r="G146" s="22"/>
      <x:c r="H146" s="22"/>
      <x:c r="I146" s="22"/>
      <x:c r="J146" s="22"/>
      <x:c r="K146" s="22"/>
      <x:c r="L146" s="22"/>
      <x:c r="M146" s="22"/>
      <x:c r="N146" s="22"/>
      <x:c r="O146" s="22"/>
      <x:c r="P146" s="22"/>
      <x:c r="Q146" s="22"/>
      <x:c r="R146" s="22"/>
    </x:row>
    <x:row r="147">
      <x:c r="A147" s="22" t="n">
        <x:v>143</x:v>
      </x:c>
      <x:c r="B147" s="22"/>
      <x:c r="C147" s="22"/>
      <x:c r="D147" s="22"/>
      <x:c r="E147" s="22"/>
      <x:c r="F147" s="22"/>
      <x:c r="G147" s="22"/>
      <x:c r="H147" s="22"/>
      <x:c r="I147" s="22"/>
      <x:c r="J147" s="22"/>
      <x:c r="K147" s="22"/>
      <x:c r="L147" s="22"/>
      <x:c r="M147" s="22"/>
      <x:c r="N147" s="22"/>
      <x:c r="O147" s="22"/>
      <x:c r="P147" s="22"/>
      <x:c r="Q147" s="22"/>
      <x:c r="R147" s="22"/>
    </x:row>
    <x:row r="148">
      <x:c r="A148" s="22" t="n">
        <x:v>144</x:v>
      </x:c>
      <x:c r="B148" s="22"/>
      <x:c r="C148" s="22"/>
      <x:c r="D148" s="22"/>
      <x:c r="E148" s="22"/>
      <x:c r="F148" s="22"/>
      <x:c r="G148" s="22"/>
      <x:c r="H148" s="22"/>
      <x:c r="I148" s="22"/>
      <x:c r="J148" s="22"/>
      <x:c r="K148" s="22"/>
      <x:c r="L148" s="22"/>
      <x:c r="M148" s="22"/>
      <x:c r="N148" s="22"/>
      <x:c r="O148" s="22"/>
      <x:c r="P148" s="22"/>
      <x:c r="Q148" s="22"/>
      <x:c r="R148" s="22"/>
    </x:row>
    <x:row r="149">
      <x:c r="A149" s="22" t="n">
        <x:v>145</x:v>
      </x:c>
      <x:c r="B149" s="22"/>
      <x:c r="C149" s="22"/>
      <x:c r="D149" s="22"/>
      <x:c r="E149" s="22"/>
      <x:c r="F149" s="22"/>
      <x:c r="G149" s="22"/>
      <x:c r="H149" s="22"/>
      <x:c r="I149" s="22"/>
      <x:c r="J149" s="22"/>
      <x:c r="K149" s="22"/>
      <x:c r="L149" s="22"/>
      <x:c r="M149" s="22"/>
      <x:c r="N149" s="22"/>
      <x:c r="O149" s="22"/>
      <x:c r="P149" s="22"/>
      <x:c r="Q149" s="22"/>
      <x:c r="R149" s="22"/>
    </x:row>
    <x:row r="150">
      <x:c r="A150" s="22" t="n">
        <x:v>146</x:v>
      </x:c>
      <x:c r="B150" s="22"/>
      <x:c r="C150" s="22"/>
      <x:c r="D150" s="22"/>
      <x:c r="E150" s="22"/>
      <x:c r="F150" s="22"/>
      <x:c r="G150" s="22"/>
      <x:c r="H150" s="22"/>
      <x:c r="I150" s="22"/>
      <x:c r="J150" s="22"/>
      <x:c r="K150" s="22"/>
      <x:c r="L150" s="22"/>
      <x:c r="M150" s="22"/>
      <x:c r="N150" s="22"/>
      <x:c r="O150" s="22"/>
      <x:c r="P150" s="22"/>
      <x:c r="Q150" s="22"/>
      <x:c r="R150" s="22"/>
    </x:row>
    <x:row r="151">
      <x:c r="A151" s="22" t="n">
        <x:v>147</x:v>
      </x:c>
      <x:c r="B151" s="22"/>
      <x:c r="C151" s="22"/>
      <x:c r="D151" s="22"/>
      <x:c r="E151" s="22"/>
      <x:c r="F151" s="22"/>
      <x:c r="G151" s="22"/>
      <x:c r="H151" s="22"/>
      <x:c r="I151" s="22"/>
      <x:c r="J151" s="22"/>
      <x:c r="K151" s="22"/>
      <x:c r="L151" s="22"/>
      <x:c r="M151" s="22"/>
      <x:c r="N151" s="22"/>
      <x:c r="O151" s="22"/>
      <x:c r="P151" s="22"/>
      <x:c r="Q151" s="22"/>
      <x:c r="R151" s="22"/>
    </x:row>
    <x:row r="152">
      <x:c r="A152" s="22" t="n">
        <x:v>148</x:v>
      </x:c>
      <x:c r="B152" s="22"/>
      <x:c r="C152" s="22"/>
      <x:c r="D152" s="22"/>
      <x:c r="E152" s="22"/>
      <x:c r="F152" s="22"/>
      <x:c r="G152" s="22"/>
      <x:c r="H152" s="22"/>
      <x:c r="I152" s="22"/>
      <x:c r="J152" s="22"/>
      <x:c r="K152" s="22"/>
      <x:c r="L152" s="22"/>
      <x:c r="M152" s="22"/>
      <x:c r="N152" s="22"/>
      <x:c r="O152" s="22"/>
      <x:c r="P152" s="22"/>
      <x:c r="Q152" s="22"/>
      <x:c r="R152" s="22"/>
    </x:row>
    <x:row r="153">
      <x:c r="A153" s="22" t="n">
        <x:v>149</x:v>
      </x:c>
      <x:c r="B153" s="22"/>
      <x:c r="C153" s="22"/>
      <x:c r="D153" s="22"/>
      <x:c r="E153" s="22"/>
      <x:c r="F153" s="22"/>
      <x:c r="G153" s="22"/>
      <x:c r="H153" s="22"/>
      <x:c r="I153" s="22"/>
      <x:c r="J153" s="22"/>
      <x:c r="K153" s="22"/>
      <x:c r="L153" s="22"/>
      <x:c r="M153" s="22"/>
      <x:c r="N153" s="22"/>
      <x:c r="O153" s="22"/>
      <x:c r="P153" s="22"/>
      <x:c r="Q153" s="22"/>
      <x:c r="R153" s="22"/>
    </x:row>
    <x:row r="154">
      <x:c r="A154" s="22" t="n">
        <x:v>150</x:v>
      </x:c>
      <x:c r="B154" s="22"/>
      <x:c r="C154" s="22"/>
      <x:c r="D154" s="22"/>
      <x:c r="E154" s="22"/>
      <x:c r="F154" s="22"/>
      <x:c r="G154" s="22"/>
      <x:c r="H154" s="22"/>
      <x:c r="I154" s="22"/>
      <x:c r="J154" s="22"/>
      <x:c r="K154" s="22"/>
      <x:c r="L154" s="22"/>
      <x:c r="M154" s="22"/>
      <x:c r="N154" s="22"/>
      <x:c r="O154" s="22"/>
      <x:c r="P154" s="22"/>
      <x:c r="Q154" s="22"/>
      <x:c r="R154" s="22"/>
    </x:row>
    <x:row r="155">
      <x:c r="A155" s="22" t="n">
        <x:v>151</x:v>
      </x:c>
      <x:c r="B155" s="22"/>
      <x:c r="C155" s="22"/>
      <x:c r="D155" s="22"/>
      <x:c r="E155" s="22"/>
      <x:c r="F155" s="22"/>
      <x:c r="G155" s="22"/>
      <x:c r="H155" s="22"/>
      <x:c r="I155" s="22"/>
      <x:c r="J155" s="22"/>
      <x:c r="K155" s="22"/>
      <x:c r="L155" s="22"/>
      <x:c r="M155" s="22"/>
      <x:c r="N155" s="22"/>
      <x:c r="O155" s="22"/>
      <x:c r="P155" s="22"/>
      <x:c r="Q155" s="22"/>
      <x:c r="R155" s="22"/>
    </x:row>
    <x:row r="156">
      <x:c r="A156" s="22" t="n">
        <x:v>152</x:v>
      </x:c>
      <x:c r="B156" s="22"/>
      <x:c r="C156" s="22"/>
      <x:c r="D156" s="22"/>
      <x:c r="E156" s="22"/>
      <x:c r="F156" s="22"/>
      <x:c r="G156" s="22"/>
      <x:c r="H156" s="22"/>
      <x:c r="I156" s="22"/>
      <x:c r="J156" s="22"/>
      <x:c r="K156" s="22"/>
      <x:c r="L156" s="22"/>
      <x:c r="M156" s="22"/>
      <x:c r="N156" s="22"/>
      <x:c r="O156" s="22"/>
      <x:c r="P156" s="22"/>
      <x:c r="Q156" s="22"/>
      <x:c r="R156" s="22"/>
    </x:row>
    <x:row r="157">
      <x:c r="A157" s="22" t="n">
        <x:v>153</x:v>
      </x:c>
      <x:c r="B157" s="22"/>
      <x:c r="C157" s="22"/>
      <x:c r="D157" s="22"/>
      <x:c r="E157" s="22"/>
      <x:c r="F157" s="22"/>
      <x:c r="G157" s="22"/>
      <x:c r="H157" s="22"/>
      <x:c r="I157" s="22"/>
      <x:c r="J157" s="22"/>
      <x:c r="K157" s="22"/>
      <x:c r="L157" s="22"/>
      <x:c r="M157" s="22"/>
      <x:c r="N157" s="22"/>
      <x:c r="O157" s="22"/>
      <x:c r="P157" s="22"/>
      <x:c r="Q157" s="22"/>
      <x:c r="R157" s="22"/>
    </x:row>
    <x:row r="158">
      <x:c r="A158" s="22" t="n">
        <x:v>154</x:v>
      </x:c>
      <x:c r="B158" s="22"/>
      <x:c r="C158" s="22"/>
      <x:c r="D158" s="22"/>
      <x:c r="E158" s="22"/>
      <x:c r="F158" s="22"/>
      <x:c r="G158" s="22"/>
      <x:c r="H158" s="22"/>
      <x:c r="I158" s="22"/>
      <x:c r="J158" s="22"/>
      <x:c r="K158" s="22"/>
      <x:c r="L158" s="22"/>
      <x:c r="M158" s="22"/>
      <x:c r="N158" s="22"/>
      <x:c r="O158" s="22"/>
      <x:c r="P158" s="22"/>
      <x:c r="Q158" s="22"/>
      <x:c r="R158" s="22"/>
    </x:row>
    <x:row r="159">
      <x:c r="A159" s="22" t="n">
        <x:v>155</x:v>
      </x:c>
      <x:c r="B159" s="22"/>
      <x:c r="C159" s="22"/>
      <x:c r="D159" s="22"/>
      <x:c r="E159" s="22"/>
      <x:c r="F159" s="22"/>
      <x:c r="G159" s="22"/>
      <x:c r="H159" s="22"/>
      <x:c r="I159" s="22"/>
      <x:c r="J159" s="22"/>
      <x:c r="K159" s="22"/>
      <x:c r="L159" s="22"/>
      <x:c r="M159" s="22"/>
      <x:c r="N159" s="22"/>
      <x:c r="O159" s="22"/>
      <x:c r="P159" s="22"/>
      <x:c r="Q159" s="22"/>
      <x:c r="R159" s="22"/>
    </x:row>
    <x:row r="160">
      <x:c r="A160" s="22" t="n">
        <x:v>156</x:v>
      </x:c>
      <x:c r="B160" s="22"/>
      <x:c r="C160" s="22"/>
      <x:c r="D160" s="22"/>
      <x:c r="E160" s="22"/>
      <x:c r="F160" s="22"/>
      <x:c r="G160" s="22"/>
      <x:c r="H160" s="22"/>
      <x:c r="I160" s="22"/>
      <x:c r="J160" s="22"/>
      <x:c r="K160" s="22"/>
      <x:c r="L160" s="22"/>
      <x:c r="M160" s="22"/>
      <x:c r="N160" s="22"/>
      <x:c r="O160" s="22"/>
      <x:c r="P160" s="22"/>
      <x:c r="Q160" s="22"/>
      <x:c r="R160" s="22"/>
    </x:row>
    <x:row r="161">
      <x:c r="A161" s="22" t="n">
        <x:v>157</x:v>
      </x:c>
      <x:c r="B161" s="22"/>
      <x:c r="C161" s="22"/>
      <x:c r="D161" s="22"/>
      <x:c r="E161" s="22"/>
      <x:c r="F161" s="22"/>
      <x:c r="G161" s="22"/>
      <x:c r="H161" s="22"/>
      <x:c r="I161" s="22"/>
      <x:c r="J161" s="22"/>
      <x:c r="K161" s="22"/>
      <x:c r="L161" s="22"/>
      <x:c r="M161" s="22"/>
      <x:c r="N161" s="22"/>
      <x:c r="O161" s="22"/>
      <x:c r="P161" s="22"/>
      <x:c r="Q161" s="22"/>
      <x:c r="R161" s="22"/>
    </x:row>
    <x:row r="162">
      <x:c r="A162" s="22" t="n">
        <x:v>158</x:v>
      </x:c>
      <x:c r="B162" s="22"/>
      <x:c r="C162" s="22"/>
      <x:c r="D162" s="22"/>
      <x:c r="E162" s="22"/>
      <x:c r="F162" s="22"/>
      <x:c r="G162" s="22"/>
      <x:c r="H162" s="22"/>
      <x:c r="I162" s="22"/>
      <x:c r="J162" s="22"/>
      <x:c r="K162" s="22"/>
      <x:c r="L162" s="22"/>
      <x:c r="M162" s="22"/>
      <x:c r="N162" s="22"/>
      <x:c r="O162" s="22"/>
      <x:c r="P162" s="22"/>
      <x:c r="Q162" s="22"/>
      <x:c r="R162" s="22"/>
    </x:row>
    <x:row r="163">
      <x:c r="A163" s="22" t="n">
        <x:v>159</x:v>
      </x:c>
      <x:c r="B163" s="22"/>
      <x:c r="C163" s="22"/>
      <x:c r="D163" s="22"/>
      <x:c r="E163" s="22"/>
      <x:c r="F163" s="22"/>
      <x:c r="G163" s="22"/>
      <x:c r="H163" s="22"/>
      <x:c r="I163" s="22"/>
      <x:c r="J163" s="22"/>
      <x:c r="K163" s="22"/>
      <x:c r="L163" s="22"/>
      <x:c r="M163" s="22"/>
      <x:c r="N163" s="22"/>
      <x:c r="O163" s="22"/>
      <x:c r="P163" s="22"/>
      <x:c r="Q163" s="22"/>
      <x:c r="R163" s="22"/>
    </x:row>
    <x:row r="164">
      <x:c r="A164" s="22" t="n">
        <x:v>160</x:v>
      </x:c>
      <x:c r="B164" s="22"/>
      <x:c r="C164" s="22"/>
      <x:c r="D164" s="22"/>
      <x:c r="E164" s="22"/>
      <x:c r="F164" s="22"/>
      <x:c r="G164" s="22"/>
      <x:c r="H164" s="22"/>
      <x:c r="I164" s="22"/>
      <x:c r="J164" s="22"/>
      <x:c r="K164" s="22"/>
      <x:c r="L164" s="22"/>
      <x:c r="M164" s="22"/>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a93a7c994135435b"/>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2">
      <x:c r="A2"/>
      <x:c r="B2"/>
    </x:row>
    <x:row r="3">
      <x:c r="A3" s="64" t="str">
        <x:v>Field</x:v>
      </x:c>
      <x:c r="B3" s="64" t="str">
        <x:v>Value</x:v>
      </x:c>
    </x:row>
    <x:row r="4">
      <x:c r="A4" t="str">
        <x:v>Command</x:v>
      </x:c>
      <x:c r="B4" t="str">
        <x:v>Bắt đầu tạo bài mới MB Bank</x:v>
      </x:c>
    </x:row>
    <x:row r="5">
      <x:c r="A5" t="str">
        <x:v>Next Queue #</x:v>
      </x:c>
      <x:c xmlns:x="http://schemas.openxmlformats.org/spreadsheetml/2006/main" r="B5" t="n">
        <x:f>IFERROR(INDEX('Evergreen Queue'!$A$5:$A$164,MATCH("Ready",'Evergreen Queue'!$L$5:$L$164,0)),"DISCOVERY")</x:f>
        <x:v>5</x:v>
      </x:c>
    </x:row>
    <x:row r="6">
      <x:c r="A6" t="str">
        <x:v>Next Asset ID</x:v>
      </x:c>
      <x:c xmlns:x="http://schemas.openxmlformats.org/spreadsheetml/2006/main" r="B6" t="str">
        <x:f>IF(B5="DISCOVERY","DISCOVERY",INDEX('Evergreen Queue'!$B$5:$B$164,MATCH("Ready",'Evergreen Queue'!$L$5:$L$164,0)))</x:f>
        <x:v>A-AGE</x:v>
      </x:c>
    </x:row>
    <x:row r="7">
      <x:c r="A7" t="str">
        <x:v>Topic / Task</x:v>
      </x:c>
      <x:c xmlns:x="http://schemas.openxmlformats.org/spreadsheetml/2006/main" r="B7" t="str">
        <x:f>IF(B5="DISCOVERY","Run Discovery Mode",INDEX('Evergreen Queue'!$C$5:$C$164,MATCH("Ready",'Evergreen Queue'!$L$5:$L$164,0)))</x:f>
        <x:v>Publish: Bao nhiêu tuổi được mở tài khoản MB Bank?</x:v>
      </x:c>
    </x:row>
    <x:row r="8">
      <x:c r="A8" t="str">
        <x:v>Cluster</x:v>
      </x:c>
      <x:c xmlns:x="http://schemas.openxmlformats.org/spreadsheetml/2006/main" r="B8" t="str">
        <x:f>IF(B5="DISCOVERY","All",INDEX('Evergreen Queue'!$D$5:$D$164,MATCH("Ready",'Evergreen Queue'!$L$5:$L$164,0)))</x:f>
        <x:v>Account</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A-AGE</x:v>
      </x:c>
    </x:row>
    <x:row r="11">
      <x:c r="A11" t="str">
        <x:v>Priority</x:v>
      </x:c>
      <x:c xmlns:x="http://schemas.openxmlformats.org/spreadsheetml/2006/main" r="B11" t="str">
        <x:f>IF(B5="DISCOVERY","P0",INDEX('Evergreen Queue'!$K$5:$K$164,MATCH("Ready",'Evergreen Queue'!$L$5:$L$164,0)))</x:f>
        <x:v>P1</x:v>
      </x:c>
    </x:row>
    <x:row r="12">
      <x:c r="A12" t="str">
        <x:v>Status</x:v>
      </x:c>
      <x:c r="B12" t="str">
        <x:v>READY TO RUN</x:v>
      </x:c>
    </x:row>
    <x:row r="13">
      <x:c r="A13"/>
      <x:c r="B13"/>
    </x:row>
    <x:row r="14">
      <x:c r="A14" s="67" t="str">
        <x:v>What Codex does when the command is received</x:v>
      </x:c>
      <x:c r="B14" s="67"/>
      <x:c r="C14" s="67"/>
      <x:c r="D14" s="67"/>
      <x:c r="E14" s="67"/>
      <x:c r="F14" s="67"/>
    </x:row>
    <x:row r="15">
      <x:c r="A15" s="22" t="str">
        <x:v>Read this sheet → mark selected queue row In progress → validate source/canonical/URL → implement with existing UI → quality checks → commit/push/deploy when authorized → verify production → mark Done/Blocked → append Run Log → stop after one content run unless user asks for more. If DISCOVERY, research 3–5 candidates, append qualified items,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MB BANK CONTENT ENGINE – RUN LOG</x:v>
      </x:c>
      <x:c r="B1" s="58"/>
      <x:c r="C1" s="58"/>
      <x:c r="D1" s="58"/>
      <x:c r="E1" s="58"/>
      <x:c r="F1" s="58"/>
      <x:c r="G1" s="58"/>
      <x:c r="H1" s="58"/>
      <x:c r="I1" s="58"/>
      <x:c r="J1" s="58"/>
      <x:c r="K1" s="58"/>
      <x:c r="L1" s="58"/>
      <x:c r="M1" s="58"/>
      <x:c r="N1" s="58"/>
      <x:c r="O1" s="58"/>
      <x:c r="P1" s="58"/>
      <x:c r="Q1" s="58"/>
    </x:row>
    <x:row r="2">
      <x:c r="A2"/>
      <x:c r="B2"/>
      <x:c r="C2"/>
      <x:c r="D2"/>
      <x:c r="E2"/>
      <x:c r="F2"/>
      <x:c r="G2"/>
      <x:c r="H2"/>
      <x:c r="I2"/>
      <x:c r="J2"/>
      <x:c r="K2"/>
      <x:c r="L2"/>
      <x:c r="M2"/>
      <x:c r="N2"/>
      <x:c r="O2"/>
      <x:c r="P2"/>
      <x:c r="Q2"/>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A-PILLAR</x:v>
      </x:c>
      <x:c xmlns:x="http://schemas.openxmlformats.org/spreadsheetml/2006/main" r="F4" s="22" t="str">
        <x:v>Update: Mở tài khoản MB Bank online</x:v>
      </x:c>
      <x:c xmlns:x="http://schemas.openxmlformats.org/spreadsheetml/2006/main" r="G4" s="22" t="str">
        <x:v>Update existing canonical; retain seed order, owner title ending online, MBAT113 and exact approved OneLink. No unpublished referral/card links.</x:v>
      </x:c>
      <x:c xmlns:x="http://schemas.openxmlformats.org/spreadsheetml/2006/main" r="H4" s="22" t="str">
        <x:v>https://1phutdangky.com/mo-tai-khoan/mo-tai-khoan-mb-bank-online/</x:v>
      </x:c>
      <x:c xmlns:x="http://schemas.openxmlformats.org/spreadsheetml/2006/main" r="I4" s="22" t="str">
        <x:v>2026-10-28: S1 official account guide (12/10/2026), rendered in Chrome; S2 MB247 contact; official App page rendered; account terms/eMB terms and 2026 individual fee PDF; MB News contact rendered. Original fee PDF visually checked page 1: ordinary account open/close free, 50,000 VND minimum balance. Approved OneLink checked for iOS app id1205807363 and Android app/store dispatcher. Existing owner-provided code MBAT113 retained; no new reward/age threshold asserted.</x:v>
      </x:c>
      <x:c xmlns:x="http://schemas.openxmlformats.org/spreadsheetml/2006/main" r="J4" s="22" t="str">
        <x:v>src/content/articles/mo-tai-khoan/mo-tai-khoan-mb-bank-online.mdx; src/data/products/bank-accounts/mb-bank-account.json; docs/content/1phutdangky_MB_Bank_Evergreen_Content_Engine.xlsx</x:v>
      </x:c>
      <x:c xmlns:x="http://schemas.openxmlformats.org/spreadsheetml/2006/main" r="K4" s="22" t="str">
        <x:v>PASS npm run check (Astro build, Pagefind, validator): 20 HTML, 18 sitemap URLs. PASS git diff --check. Local Chrome: 375/390/768/1440 light/dark; canonical, metadata, JSON-LD, 3 identical OneLink CTAs, MBAT113 clipboard, consent denied/granted click/copy gating, no page errors/overflow. No separate lint/typecheck/test scripts. Workbook formulas recalculated and native features preserved.</x:v>
      </x:c>
      <x:c xmlns:x="http://schemas.openxmlformats.org/spreadsheetml/2006/main" r="L4" s="22" t="str">
        <x:v>18ec8141c1e7e44ba7b641b9c8e4f7745d57130b</x:v>
      </x:c>
      <x:c xmlns:x="http://schemas.openxmlformats.org/spreadsheetml/2006/main" r="M4" s="22" t="str">
        <x:v>Content pushed to origin/main; GitHub SHA verified</x:v>
      </x:c>
      <x:c xmlns:x="http://schemas.openxmlformats.org/spreadsheetml/2006/main" r="N4" s="22" t="str">
        <x:v>Cloudflare Pages success 9f4c41dc-4d09-4390-8e8a-4a600e7d17b1 via existing Git integration</x:v>
      </x:c>
      <x:c xmlns:x="http://schemas.openxmlformats.org/spreadsheetml/2006/main" r="O4" s="22" t="str">
        <x:v>PASS production HTTP 200, canonical/title/meta/schema/sitemap, 3 exact CTAs, MBAT113 copy, consent gating, 375/390/768/1440 light/dark and no runtime errors/overflow</x:v>
      </x:c>
      <x:c xmlns:x="http://schemas.openxmlformats.org/spreadsheetml/2006/main" r="P4" s="22" t="str">
        <x:v>Done</x:v>
      </x:c>
      <x:c xmlns:x="http://schemas.openxmlformats.org/spreadsheetml/2006/main" r="Q4" s="22" t="str">
        <x:v>Updated A-PILLAR only. Referral/card pages not yet published, so bridge stays a short section in account article and no links to future owners. OneLink, reward-neutral stance and UI preserved.</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2</x:v>
      </x:c>
      <x:c xmlns:x="http://schemas.openxmlformats.org/spreadsheetml/2006/main" r="E5" s="22" t="str">
        <x:v>R-PILLAR</x:v>
      </x:c>
      <x:c xmlns:x="http://schemas.openxmlformats.org/spreadsheetml/2006/main" r="F5" s="22" t="str">
        <x:v>Publish: Mã giới thiệu MB Bank MBAT113</x:v>
      </x:c>
      <x:c xmlns:x="http://schemas.openxmlformats.org/spreadsheetml/2006/main" r="G5" s="22" t="str">
        <x:v>New referral owner /ma-gioi-thieu-mb-bank/; preserve seeded order; account owner retains opening/fees intent. Verify source gate before publishing.</x:v>
      </x:c>
      <x:c xmlns:x="http://schemas.openxmlformats.org/spreadsheetml/2006/main" r="H5" s="22" t="str">
        <x:v>https://1phutdangky.com/ma-gioi-thieu-mb-bank/</x:v>
      </x:c>
      <x:c xmlns:x="http://schemas.openxmlformats.org/spreadsheetml/2006/main" r="I5" s="22" t="str">
        <x:v>2026-10-28: rendered official MB referral programme page and read linked 2025 T&amp;C PDF; enrollment ends 2025-12-31, payout ends 2026-12-31, no current reward claimed. Inspected official legacy guide image for optional referral section / Mã người giới thiệu (Mã RM); no assertion of exact current UI sequence. Official MB247 contact rendered. Owned MBAT113 setup retained. Exact OneLink dispatcher tested with iOS and Android UAs: expected app/store targets, no automatic attribution asserted.</x:v>
      </x:c>
      <x:c xmlns:x="http://schemas.openxmlformats.org/spreadsheetml/2006/main" r="J5" s="22" t="str">
        <x:v>src/content/articles/ma-gioi-thieu-mb-bank.mdx; src/content/articles/ma-gioi-thieu-mb-bank-cover.png; src/content/articles/mo-tai-khoan/mo-tai-khoan-mb-bank-online.mdx; docs/content/1phutdangky_MB_Bank_Evergreen_Content_Engine.xlsx</x:v>
      </x:c>
      <x:c xmlns:x="http://schemas.openxmlformats.org/spreadsheetml/2006/main" r="K5" s="22" t="str">
        <x:v>PASS npm run check: Astro build + Pagefind + validator, 21 HTML /19 sitemap URLs. PASS git diff --check. Local Chrome 375/390/768/1440 light/dark, one H1, canonical, robots, BreadcrumbList, 3 exact OneLink CTAs, MBAT113 clipboard, consent-aware events, no overflow/runtime errors. Independent editorial/SEO source review: no actionable findings. No separate lint/typecheck/test scripts. Workbook recalculated; original native formatting/formulas preserved.</x:v>
      </x:c>
      <x:c xmlns:x="http://schemas.openxmlformats.org/spreadsheetml/2006/main" r="L5" s="22" t="str">
        <x:v>23e10975c25df04a40a0910f59d7204809ebfa54</x:v>
      </x:c>
      <x:c xmlns:x="http://schemas.openxmlformats.org/spreadsheetml/2006/main" r="M5" s="22" t="str">
        <x:v>Pushed to origin/main; GitHub SHA verified</x:v>
      </x:c>
      <x:c xmlns:x="http://schemas.openxmlformats.org/spreadsheetml/2006/main" r="N5" s="22" t="str">
        <x:v>Cloudflare Pages success 87b9ce08-3fa2-41ac-8d9b-d23e9f817f6f via existing Git integration</x:v>
      </x:c>
      <x:c xmlns:x="http://schemas.openxmlformats.org/spreadsheetml/2006/main" r="O5" s="22" t="str">
        <x:v>PASS production HTTP 200; one H1, metadata/OG image, canonical, Article/BreadcrumbList, sitemap exactly once (19 URLs), homepage/category discovery, reciprocal Account links, 3 exact CTAs, MBAT113 copy, consent gating, 375/390/768/1440 light/dark, no overflow/runtime errors</x:v>
      </x:c>
      <x:c xmlns:x="http://schemas.openxmlformats.org/spreadsheetml/2006/main" r="P5" s="22" t="str">
        <x:v>Done</x:v>
      </x:c>
      <x:c xmlns:x="http://schemas.openxmlformats.org/spreadsheetml/2006/main" r="Q5" s="22" t="str">
        <x:v>Queue #2 only; new referral owner plus minimal Account bridge link. No new current fee, age or reward claims. Distinct sections cover code, link, optionality as shown in published guide, benefit verification and forgotten/invalid code support. No extra FAQ or new support URLs.</x:v>
      </x:c>
    </x:row>
    <x:row r="6">
      <x:c r="A6" s="22" t="n">
        <x:v>3</x:v>
      </x:c>
      <x:c xmlns:x="http://schemas.openxmlformats.org/spreadsheetml/2006/main" r="B6" s="22" t="str">
        <x:v>2026-10-29</x:v>
      </x:c>
      <x:c xmlns:x="http://schemas.openxmlformats.org/spreadsheetml/2006/main" r="C6" s="22" t="str">
        <x:v>2026-10-29</x:v>
      </x:c>
      <x:c xmlns:x="http://schemas.openxmlformats.org/spreadsheetml/2006/main" r="D6" s="22" t="n">
        <x:v>3</x:v>
      </x:c>
      <x:c xmlns:x="http://schemas.openxmlformats.org/spreadsheetml/2006/main" r="E6" s="22" t="str">
        <x:v>A-ERRORS</x:v>
      </x:c>
      <x:c xmlns:x="http://schemas.openxmlformats.org/spreadsheetml/2006/main" r="F6" s="22" t="str">
        <x:v>Publish: Không đăng ký được MB Bank</x:v>
      </x:c>
      <x:c xmlns:x="http://schemas.openxmlformats.org/spreadsheetml/2006/main" r="G6" s="22" t="str">
        <x:v>New troubleshooting hub; retain seeded first eligible P0. Account retains registration/fees and Referral retains code intent; support article solves errors before affiliate action.</x:v>
      </x:c>
      <x:c xmlns:x="http://schemas.openxmlformats.org/spreadsheetml/2006/main" r="H6" s="22" t="str">
        <x:v>https://1phutdangky.com/khong-dang-ky-duoc-mb-bank/</x:v>
      </x:c>
      <x:c xmlns:x="http://schemas.openxmlformats.org/spreadsheetml/2006/main" r="I6" s="22" t="str">
        <x:v>2026-10-29: official https://www.mbbank.com.vn/Contact via web fetch (MB247 personal phones/email/support scope); MB-owned current AppStore id1205807363 and GooglePlay com.mbmobile listings. Apple camera permissions iph168c4bbd5 and SMS support118433; Google Android permissions9431959 and Messages9077245; Samsung nfc-not-working-samsung-galaxy-device. Direct rendered MB pages returned Access Denied; no authenticated App flow or arbitrary error-code diagnosis claimed. Exact approved OneLink tested with iOS/Android UAs: 200 app/store dispatchers. Shared MBAT113 offer/facts unchanged.</x:v>
      </x:c>
      <x:c xmlns:x="http://schemas.openxmlformats.org/spreadsheetml/2006/main" r="J6" s="22" t="str">
        <x:v>src/content/articles/khong-dang-ky-duoc-mb-bank.mdx; src/content/articles/khong-dang-ky-duoc-mb-bank-cover.png; src/content/articles/mo-tai-khoan/mo-tai-khoan-mb-bank-online.mdx; docs/content/1phutdangky_MB_Bank_Evergreen_Content_Engine.xlsx</x:v>
      </x:c>
      <x:c xmlns:x="http://schemas.openxmlformats.org/spreadsheetml/2006/main" r="K6" s="22" t="str">
        <x:v>PASS npm run check (Astro build, Pagefind, validator):22 HTML/20 sitemap URLs. PASS git diff --check. Local Chrome375/390/768/1440 light/dark; one H1, canonical, Article/BreadcrumbList, OG image, TOC anchors, sitemap membership, discovery and reciprocal Account links; support before 1 exact OneLink CTA, disclosure before action, consent denied/granted events, no overflow/runtime errors. No separate lint/typecheck/test scripts. Workbook recalculated and native features preserved.</x:v>
      </x:c>
      <x:c xmlns:x="http://schemas.openxmlformats.org/spreadsheetml/2006/main" r="L6" s="22" t="str">
        <x:v>c6c1a23073d828e6028f9573f65af3c70eae0f3e</x:v>
      </x:c>
      <x:c xmlns:x="http://schemas.openxmlformats.org/spreadsheetml/2006/main" r="M6" s="22" t="str">
        <x:v>Pushed to origin/main; GitHub SHA verified</x:v>
      </x:c>
      <x:c xmlns:x="http://schemas.openxmlformats.org/spreadsheetml/2006/main" r="N6" s="22" t="str">
        <x:v>Cloudflare Pages success 953b7adf-5f52-4156-9432-0acac84a8ad9 through existing Git integration</x:v>
      </x:c>
      <x:c xmlns:x="http://schemas.openxmlformats.org/spreadsheetml/2006/main" r="O6" s="22" t="str">
        <x:v>PASS production HTTP200; H1/metadata/OG image/canonical/Article/BreadcrumbList;20 sitemap URLs;TOC anchors;homepage/category/Account links;375/390/768/1440 light/dark;support-first single exact OneLink CTA and consent gating;no overflow/runtime errors;Account title/canonical/3 OneLinks unchanged</x:v>
      </x:c>
      <x:c xmlns:x="http://schemas.openxmlformats.org/spreadsheetml/2006/main" r="P6" s="22" t="str">
        <x:v>Done</x:v>
      </x:c>
      <x:c xmlns:x="http://schemas.openxmlformats.org/spreadsheetml/2006/main" r="Q6" s="22" t="str">
        <x:v>New support URL with existing components. Affiliate UI is rendered once in body after assistance; no ProductCard/sticky sales action before error resolution. Registration guide retains account owner URL, title, code and exact OneLink; only error bridge and update date changed. A-OTP/A-EKYC/A-EXISTS and future A-NFC remain separate backlog items, not executed or marked Done in this run.</x:v>
      </x:c>
    </x:row>
    <x:row r="7">
      <x:c r="A7" s="22" t="n">
        <x:v>4</x:v>
      </x:c>
      <x:c xmlns:x="http://schemas.openxmlformats.org/spreadsheetml/2006/main" r="B7" s="22" t="str">
        <x:v>2026-10-29</x:v>
      </x:c>
      <x:c xmlns:x="http://schemas.openxmlformats.org/spreadsheetml/2006/main" r="C7" s="22"/>
      <x:c xmlns:x="http://schemas.openxmlformats.org/spreadsheetml/2006/main" r="D7" s="22" t="n">
        <x:v>4</x:v>
      </x:c>
      <x:c xmlns:x="http://schemas.openxmlformats.org/spreadsheetml/2006/main" r="E7" s="22" t="str">
        <x:v>A-NEED</x:v>
      </x:c>
      <x:c xmlns:x="http://schemas.openxmlformats.org/spreadsheetml/2006/main" r="F7" s="22" t="str">
        <x:v>Publish: Mở tài khoản MB Bank cần gì?</x:v>
      </x:c>
      <x:c xmlns:x="http://schemas.openxmlformats.org/spreadsheetml/2006/main" r="G7" s="22" t="str">
        <x:v>New eligibility/preparation support article; first eligible seeded P1. Own checklist/requirements intent; Account retains registration/fees and Referral retains code intent.</x:v>
      </x:c>
      <x:c xmlns:x="http://schemas.openxmlformats.org/spreadsheetml/2006/main" r="H7" s="22" t="str">
        <x:v>https://1phutdangky.com/mo-tai-khoan/mo-tai-khoan-mb-bank-can-gi/</x:v>
      </x:c>
      <x:c xmlns:x="http://schemas.openxmlformats.org/spreadsheetml/2006/main" r="I7" s="22" t="str">
        <x:v>2026-10-29: MB S1 official account guide indexed text (dated2026-10-12); direct HTTP403/webfetch404 access constraint, not claimed live-page verification. Primary claims checked against official NHNN21/VBHN-NHNN consolidated17/2024+25/2025, Arts11/12/16 (PDF pp7-9,18-20); live200 MB eMB terms PDF, MB-owned AppStore id1205807363 and GooglePlay com.mbmobile (app identity/compatibility/contact); Apple camera and Samsung NFC device guidance. No authenticated current MB onboarding flow tested; no fixed screen sequence or universal NFC/VNeID alternative claimed.</x:v>
      </x:c>
      <x:c xmlns:x="http://schemas.openxmlformats.org/spreadsheetml/2006/main" r="J7" s="22" t="str">
        <x:v>src/content/articles/mo-tai-khoan/mo-tai-khoan-mb-bank-can-gi.mdx; src/content/articles/mo-tai-khoan/mo-tai-khoan-mb-bank-online.mdx; docs/content/1phutdangky_MB_Bank_Evergreen_Content_Engine.xlsx. Social PNG generated automatically by existing build endpoint.</x:v>
      </x:c>
      <x:c xmlns:x="http://schemas.openxmlformats.org/spreadsheetml/2006/main" r="K7" s="22" t="str">
        <x:v>PASS npm run check (Astro build, Pagefind, validator):23 HTML/21 sitemap URLs. PASS git diff --check. Local Chrome375/390/768/1440 light/dark: one H1, title/card/OG/Twitter image sync, canonical/Article/BreadcrumbList, TOC anchors, sitemap once, Pagefind search, homepage/category/Account discovery. Internal Account action after checklist and contextual Referral link. Account retains3 exact OneLinks, MBAT113 clipboard and denied/granted consent behavior. No page errors/overflow. Independent editorial/source review passed after resolving two unsupported assumptions. No separate lint/typecheck/test scripts. Workbook recalculated and native features preserved.</x:v>
      </x:c>
      <x:c xmlns:x="http://schemas.openxmlformats.org/spreadsheetml/2006/main" r="L7" s="22" t="str">
        <x:v>Pending content commit</x:v>
      </x:c>
      <x:c xmlns:x="http://schemas.openxmlformats.org/spreadsheetml/2006/main" r="M7" s="22" t="str">
        <x:v>Pending</x:v>
      </x:c>
      <x:c xmlns:x="http://schemas.openxmlformats.org/spreadsheetml/2006/main" r="N7" s="22" t="str">
        <x:v>Existing automatic GitHub/Cloudflare Pages integration</x:v>
      </x:c>
      <x:c xmlns:x="http://schemas.openxmlformats.org/spreadsheetml/2006/main" r="O7" s="22" t="str">
        <x:v>Pending</x:v>
      </x:c>
      <x:c xmlns:x="http://schemas.openxmlformats.org/spreadsheetml/2006/main" r="P7" s="22" t="str">
        <x:v>In progress</x:v>
      </x:c>
      <x:c xmlns:x="http://schemas.openxmlformats.org/spreadsheetml/2006/main" r="Q7" s="22" t="str">
        <x:v>New standalone preparation URL; no full registration sequence, fee table or referral mechanics duplicated. Minimal Account bridge only. No product data, shared UI, analytics, DNS or deployment configuration changes. MB source-access constraint handled through accessible primary legal/MB-owned sources; indexed guide supporting only. A-AGE/A-NFC not executed.</x:v>
      </x:c>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a1e3f920cac4a40"/>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MB BANK TOPICS</x:v>
      </x:c>
      <x:c r="B1" s="58"/>
      <x:c r="C1" s="58"/>
      <x:c r="D1" s="58"/>
      <x:c r="E1" s="58"/>
      <x:c r="F1" s="58"/>
      <x:c r="G1" s="58"/>
      <x:c r="H1" s="58"/>
      <x:c r="I1" s="58"/>
      <x:c r="J1" s="58"/>
    </x:row>
    <x:row r="2">
      <x:c r="A2" s="60" t="str">
        <x:v>Discovery chỉ chạy khi không còn Ready item. Mỗi lần tạo một queue nhỏ dựa trên evidence, không brainstorm vô hạn.</x:v>
      </x:c>
      <x:c r="B2" s="60"/>
      <x:c r="C2" s="60"/>
      <x:c r="D2" s="60"/>
      <x:c r="E2" s="60"/>
      <x:c r="F2" s="60"/>
      <x:c r="G2" s="60"/>
      <x:c r="H2" s="60"/>
      <x:c r="I2" s="60"/>
      <x:c r="J2" s="60"/>
    </x:row>
    <x:row r="3">
      <x:c r="A3"/>
      <x:c r="B3"/>
      <x:c r="C3"/>
      <x:c r="D3"/>
      <x:c r="E3"/>
      <x:c r="F3"/>
      <x:c r="G3"/>
      <x:c r="H3"/>
      <x:c r="I3"/>
      <x:c r="J3"/>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when available.</x:v>
      </x:c>
      <x:c r="J5" s="22" t="str">
        <x:v>Search Console / keyword source / SERP</x:v>
      </x:c>
    </x:row>
    <x:row r="6">
      <x:c r="A6" s="22" t="str">
        <x:v>Intent separation</x:v>
      </x:c>
      <x:c r="B6" s="22" t="str">
        <x:v>Same as owner</x:v>
      </x:c>
      <x:c r="C6" s="22" t="str">
        <x:v>Mostly overlap</x:v>
      </x:c>
      <x:c r="D6" s="22" t="str">
        <x:v>Partial</x:v>
      </x:c>
      <x:c r="E6" s="22" t="str">
        <x:v>Distinct</x:v>
      </x:c>
      <x:c r="F6" s="22" t="str">
        <x:v>Strongly distinct</x:v>
      </x:c>
      <x:c r="G6" s="22" t="str">
        <x:v>Standalone task</x:v>
      </x:c>
      <x:c r="H6" s="22" t="n">
        <x:v>3</x:v>
      </x:c>
      <x:c r="I6" s="22" t="str">
        <x:v>New URL needs strong separation.</x:v>
      </x:c>
      <x:c r="J6" s="22" t="str">
        <x:v>SERP + current site</x:v>
      </x:c>
    </x:row>
    <x:row r="7">
      <x:c r="A7" s="22" t="str">
        <x:v>Affiliate/business value</x:v>
      </x:c>
      <x:c r="B7" s="22" t="str">
        <x:v>None</x:v>
      </x:c>
      <x:c r="C7" s="22" t="str">
        <x:v>Low</x:v>
      </x:c>
      <x:c r="D7" s="22" t="str">
        <x:v>Low-mid</x:v>
      </x:c>
      <x:c r="E7" s="22" t="str">
        <x:v>Medium</x:v>
      </x:c>
      <x:c r="F7" s="22" t="str">
        <x:v>High</x:v>
      </x:c>
      <x:c r="G7" s="22" t="str">
        <x:v>Very high</x:v>
      </x:c>
      <x:c r="H7" s="22" t="n">
        <x:v>3</x:v>
      </x:c>
      <x:c r="I7" s="22" t="str">
        <x:v>MBAT113 conversion/recovery gets higher value.</x:v>
      </x:c>
      <x:c r="J7" s="22" t="str">
        <x:v>CTA/outbound/conversion</x:v>
      </x:c>
    </x:row>
    <x:row r="8">
      <x:c r="A8" s="22" t="str">
        <x:v>Source readiness</x:v>
      </x:c>
      <x:c r="B8" s="22" t="str">
        <x:v>No source</x:v>
      </x:c>
      <x:c r="C8" s="22" t="str">
        <x:v>Weak third-party</x:v>
      </x:c>
      <x:c r="D8" s="22" t="str">
        <x:v>Partial</x:v>
      </x:c>
      <x:c r="E8" s="22" t="str">
        <x:v>Good</x:v>
      </x:c>
      <x:c r="F8" s="22" t="str">
        <x:v>Official</x:v>
      </x:c>
      <x:c r="G8" s="22" t="str">
        <x:v>Official + current</x:v>
      </x:c>
      <x:c r="H8" s="22" t="n">
        <x:v>3</x:v>
      </x:c>
      <x:c r="I8" s="22" t="str">
        <x:v>YMYL/reward/App claims require official/current evidence.</x:v>
      </x:c>
      <x:c r="J8" s="22" t="str">
        <x:v>MB official / MB247</x:v>
      </x:c>
    </x:row>
    <x:row r="9">
      <x:c r="A9" s="22" t="str">
        <x:v>Content gap</x:v>
      </x:c>
      <x:c r="B9" s="22" t="str">
        <x:v>Complete</x:v>
      </x:c>
      <x:c r="C9" s="22" t="str">
        <x:v>Minor</x:v>
      </x:c>
      <x:c r="D9" s="22" t="str">
        <x:v>Small</x:v>
      </x:c>
      <x:c r="E9" s="22" t="str">
        <x:v>Moderate</x:v>
      </x:c>
      <x:c r="F9" s="22" t="str">
        <x:v>Clear</x:v>
      </x:c>
      <x:c r="G9" s="22" t="str">
        <x:v>Major</x:v>
      </x:c>
      <x:c r="H9" s="22" t="n">
        <x:v>2</x:v>
      </x:c>
      <x:c r="I9" s="22" t="str">
        <x:v>Prefer real unanswered tasks.</x:v>
      </x:c>
      <x:c r="J9" s="22" t="str">
        <x:v>Site audit + Search Console</x:v>
      </x:c>
    </x:row>
    <x:row r="10">
      <x:c r="A10" s="22" t="str">
        <x:v>Cannibalization risk</x:v>
      </x:c>
      <x:c r="B10" s="22" t="str">
        <x:v>Very high</x:v>
      </x:c>
      <x:c r="C10" s="22" t="str">
        <x:v>High</x:v>
      </x:c>
      <x:c r="D10" s="22" t="str">
        <x:v>Med-high</x:v>
      </x:c>
      <x:c r="E10" s="22" t="str">
        <x:v>Medium</x:v>
      </x:c>
      <x:c r="F10" s="22" t="str">
        <x:v>Low</x:v>
      </x:c>
      <x:c r="G10" s="22" t="str">
        <x:v>Very low</x:v>
      </x:c>
      <x:c r="H10" s="22" t="n">
        <x:v>3</x:v>
      </x:c>
      <x:c r="I10" s="22" t="str">
        <x:v>Lower risk is better; merge on overlap.</x:v>
      </x:c>
      <x:c r="J10" s="22" t="str">
        <x:v>Existing routes + SERP</x:v>
      </x:c>
    </x:row>
    <x:row r="11">
      <x:c r="A11"/>
      <x:c r="B11"/>
      <x:c r="C11"/>
      <x:c r="D11"/>
      <x:c r="E11"/>
      <x:c r="F11"/>
      <x:c r="G11"/>
      <x:c r="H11"/>
      <x:c r="I11"/>
      <x:c r="J11"/>
    </x:row>
    <x:row r="12">
      <x:c r="A12" s="67" t="str">
        <x:v>Candidate acceptance rule</x:v>
      </x:c>
      <x:c r="B12" s="67"/>
      <x:c r="C12" s="67"/>
      <x:c r="D12" s="67"/>
      <x:c r="E12" s="67"/>
      <x:c r="F12" s="67"/>
      <x:c r="G12" s="67"/>
      <x:c r="H12" s="67"/>
      <x:c r="I12" s="67"/>
      <x:c r="J12" s="67"/>
    </x:row>
    <x:row r="13">
      <x:c r="A13" s="22" t="str">
        <x:v>Append only 3–5 candidates per discovery run. New URLs normally need &gt;=3/5 Intent separation and Source readiness with low-to-moderate cannibalization. Valuable overlapping topics become update/section items. Referral candidates must not publish reward amounts without current MB official terms. Set exactly one best-qualified candidate to Ready; others stay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t="str">
        <x:v>Candidate</x:v>
      </x:c>
      <x:c r="B16" s="22" t="str">
        <x:v>Cluster</x:v>
      </x:c>
      <x:c r="C16" s="22" t="str">
        <x:v>Intent</x:v>
      </x:c>
      <x:c r="D16" s="22" t="str">
        <x:v>Demand</x:v>
      </x:c>
      <x:c r="E16" s="22" t="str">
        <x:v>Separation</x:v>
      </x:c>
      <x:c r="F16" s="22" t="str">
        <x:v>Business</x:v>
      </x:c>
      <x:c r="G16" s="22" t="str">
        <x:v>Source</x:v>
      </x:c>
      <x:c r="H16" s="22" t="str">
        <x:v>Gap</x:v>
      </x:c>
      <x:c r="I16" s="22" t="str">
        <x:v>Cannibalization</x:v>
      </x:c>
      <x:c r="J16" s="22" t="str">
        <x:v>Decision</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x:c r="B19"/>
      <x:c r="C19"/>
      <x:c r="D19"/>
      <x:c r="E19"/>
      <x:c r="F19"/>
      <x:c r="G19"/>
      <x:c r="H19"/>
      <x:c r="I19"/>
      <x:c r="J19"/>
    </x:row>
    <x:row r="20">
      <x:c r="A20" s="64"/>
      <x:c r="B20" s="64"/>
      <x:c r="C20" s="64"/>
      <x:c r="D20" s="64"/>
      <x:c r="E20" s="64"/>
      <x:c r="F20" s="64"/>
      <x:c r="G20" s="64"/>
      <x:c r="H20" s="64"/>
      <x:c r="I20" s="64"/>
      <x:c r="J20" s="64"/>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