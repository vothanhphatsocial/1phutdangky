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5c5bcf3e1e431a" /></Relationships>
</file>

<file path=xl/workbook.xml><?xml version="1.0" encoding="utf-8"?>
<x:workbook xmlns:x="http://schemas.openxmlformats.org/spreadsheetml/2006/main">
  <x:sheets>
    <x:sheet xmlns:r="http://schemas.openxmlformats.org/officeDocument/2006/relationships" name="Summary" sheetId="1" r:id="R509cbcabbde24547"/>
    <x:sheet xmlns:r="http://schemas.openxmlformats.org/officeDocument/2006/relationships" name="Plan Settings" sheetId="2" r:id="Ra3af68767d364484"/>
    <x:sheet xmlns:r="http://schemas.openxmlformats.org/officeDocument/2006/relationships" name="Unified Strategy" sheetId="3" r:id="R4c6820d997b84e01"/>
    <x:sheet xmlns:r="http://schemas.openxmlformats.org/officeDocument/2006/relationships" name="Seed-to-Question Map" sheetId="4" r:id="Reb552810398d415c"/>
    <x:sheet xmlns:r="http://schemas.openxmlformats.org/officeDocument/2006/relationships" name="Content Portfolio" sheetId="5" r:id="Rc6b5d9af95e64b66"/>
    <x:sheet xmlns:r="http://schemas.openxmlformats.org/officeDocument/2006/relationships" name="Brief Index" sheetId="6" r:id="R65f7a7d45636415f"/>
    <x:sheet xmlns:r="http://schemas.openxmlformats.org/officeDocument/2006/relationships" name="Execution Briefs" sheetId="7" r:id="R8da50c5977a54d1b"/>
    <x:sheet xmlns:r="http://schemas.openxmlformats.org/officeDocument/2006/relationships" name="CTA Matrix" sheetId="8" r:id="Rbcb19eb706f24c99"/>
    <x:sheet xmlns:r="http://schemas.openxmlformats.org/officeDocument/2006/relationships" name="Publish Source Matrix" sheetId="9" r:id="R6ecd098aca604d85"/>
    <x:sheet xmlns:r="http://schemas.openxmlformats.org/officeDocument/2006/relationships" name="Daily Publishing Schedule" sheetId="10" r:id="R4c7bf48138cb4e37"/>
    <x:sheet xmlns:r="http://schemas.openxmlformats.org/officeDocument/2006/relationships" name="Dashboard" sheetId="11" r:id="R93d3ff9f4baf47fc"/>
    <x:sheet xmlns:r="http://schemas.openxmlformats.org/officeDocument/2006/relationships" name="Codex Notes" sheetId="12" r:id="R821bda6c6e46425f"/>
    <x:sheet xmlns:r="http://schemas.openxmlformats.org/officeDocument/2006/relationships" name="Evergreen Operating Protocol" sheetId="13" r:id="Rdb4c2a700a064254"/>
    <x:sheet xmlns:r="http://schemas.openxmlformats.org/officeDocument/2006/relationships" name="Evergreen Queue" sheetId="14" r:id="Rce46eebacb83439e"/>
    <x:sheet xmlns:r="http://schemas.openxmlformats.org/officeDocument/2006/relationships" name="Next Action" sheetId="15" r:id="R55f525e0b5554996"/>
    <x:sheet xmlns:r="http://schemas.openxmlformats.org/officeDocument/2006/relationships" name="Run Log" sheetId="16" r:id="Rd56e978b12bd4c43"/>
    <x:sheet xmlns:r="http://schemas.openxmlformats.org/officeDocument/2006/relationships" name="Discovery Rules" sheetId="17" r:id="R521dc6872a0c4c8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ddd dd/mm/yyyy"/>
  </x:numFmts>
  <x:fonts count="6">
    <x:font>
      <x:sz val="11"/>
      <x:name val="Carlito"/>
    </x:font>
    <x:font>
      <x:b/>
      <x:sz val="18"/>
      <x:color rgb="FFFFFFFF"/>
      <x:name val="Carlito"/>
    </x:font>
    <x:font>
      <x:b/>
      <x:sz val="11"/>
      <x:color rgb="FFFFFFFF"/>
      <x:name val="Carlito"/>
    </x:font>
    <x:font>
      <x:b/>
      <x:sz val="16"/>
      <x:color rgb="FFFFFFFF"/>
      <x:name val="Carlito"/>
    </x:font>
    <x:font>
      <x:b/>
      <x:sz val="17"/>
      <x:color rgb="FFFFFFFF"/>
      <x:name val="Carlito"/>
    </x:font>
    <x:font>
      <x:b/>
      <x:sz val="11"/>
      <x:color rgb="FF17365D"/>
      <x:name val="Carlito"/>
    </x:font>
  </x:fonts>
  <x:fills count="11">
    <x:fill>
      <x:patternFill patternType="none"/>
    </x:fill>
    <x:fill>
      <x:patternFill patternType="gray125"/>
    </x:fill>
    <x:fill>
      <x:patternFill patternType="solid">
        <x:fgColor rgb="FF17365D"/>
      </x:patternFill>
    </x:fill>
    <x:fill>
      <x:patternFill patternType="solid">
        <x:fgColor rgb="FFEEF3F8"/>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7365D"/>
      </x:patternFill>
    </x:fill>
    <x:fill>
      <x:patternFill patternType="solid">
        <x:fgColor rgb="FFEEF3F8"/>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vertical="center"/>
    </x:xf>
    <x:xf numFmtId="0" fontId="2" fillId="4" borderId="1"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cellXfs>
  <x:cellStyles count="1">
    <x:cellStyle name="Normal" xfId="0"/>
  </x:cellStyles>
  <x:dxfs count="16">
    <x:dxf>
      <x:font>
        <x:b/>
      </x:font>
      <x:fill>
        <x:patternFill>
          <x:bgColor rgb="FFF4CCCC"/>
        </x:patternFill>
      </x:fill>
    </x:dxf>
    <x:dxf>
      <x:fill>
        <x:patternFill>
          <x:bgColor rgb="FFFCE4D6"/>
        </x:patternFill>
      </x:fill>
    </x:dxf>
    <x:dxf>
      <x:font>
        <x:b/>
      </x:font>
      <x:fill>
        <x:patternFill>
          <x:bgColor rgb="FFF4CCCC"/>
        </x:patternFill>
      </x:fill>
    </x:dxf>
    <x:dxf>
      <x:fill>
        <x:patternFill>
          <x:bgColor rgb="FFFCE4D6"/>
        </x:patternFill>
      </x:fill>
    </x:dxf>
    <x:dxf>
      <x:font>
        <x:b/>
      </x:font>
      <x:fill>
        <x:patternFill>
          <x:bgColor rgb="FFE2F0D9"/>
        </x:patternFill>
      </x:fill>
    </x:dxf>
    <x:dxf>
      <x:font>
        <x:b/>
      </x:font>
      <x:fill>
        <x:patternFill>
          <x:bgColor rgb="FFFFF2CC"/>
        </x:patternFill>
      </x:fill>
    </x:dxf>
    <x:dxf>
      <x:font>
        <x:b/>
      </x:font>
      <x:fill>
        <x:patternFill>
          <x:bgColor rgb="FFF4CCCC"/>
        </x:patternFill>
      </x:fill>
    </x:dxf>
    <x:dxf>
      <x:font>
        <x:b/>
      </x:font>
      <x:fill>
        <x:patternFill>
          <x:bgColor rgb="FFE2F0D9"/>
        </x:patternFill>
      </x:fill>
    </x:dxf>
    <x:dxf>
      <x:fill>
        <x:patternFill>
          <x:bgColor rgb="FFD9EAF7"/>
        </x:patternFill>
      </x:fill>
    </x:dxf>
    <x:dxf>
      <x:font>
        <x:b/>
      </x:font>
      <x:fill>
        <x:patternFill patternType="solid">
          <x:bgColor rgb="FFE2F0D9"/>
        </x:patternFill>
      </x:fill>
    </x:dxf>
    <x:dxf>
      <x:fill>
        <x:patternFill patternType="solid">
          <x:bgColor rgb="FFFFF2CC"/>
        </x:patternFill>
      </x:fill>
    </x:dxf>
    <x:dxf>
      <x:font>
        <x:b/>
      </x:font>
      <x:fill>
        <x:patternFill patternType="solid">
          <x:bgColor rgb="FFFCE4D6"/>
        </x:patternFill>
      </x:fill>
    </x:dxf>
    <x:dxf>
      <x:fill>
        <x:patternFill patternType="solid">
          <x:bgColor rgb="FFD9EAF7"/>
        </x:patternFill>
      </x:fill>
    </x:dxf>
    <x:dxf>
      <x:font>
        <x:b/>
      </x:font>
      <x:fill>
        <x:patternFill patternType="solid">
          <x:bgColor rgb="FFF4CCCC"/>
        </x:patternFill>
      </x:fill>
    </x:dxf>
    <x:dxf>
      <x:fill>
        <x:patternFill patternType="solid">
          <x:bgColor rgb="FFE2F0D9"/>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40431828e140a5" /><Relationship Type="http://schemas.openxmlformats.org/officeDocument/2006/relationships/theme" Target="/xl/theme/theme1.xml" Id="R92d4c5e454b3476f" /><Relationship Type="http://schemas.openxmlformats.org/officeDocument/2006/relationships/sharedStrings" Target="/xl/sharedStrings.xml" Id="R19ad8d136c4d4091" /><Relationship Type="http://schemas.openxmlformats.org/officeDocument/2006/relationships/worksheet" Target="/xl/worksheets/sheet1.xml" Id="R509cbcabbde24547" /><Relationship Type="http://schemas.openxmlformats.org/officeDocument/2006/relationships/worksheet" Target="/xl/worksheets/sheet2.xml" Id="Ra3af68767d364484" /><Relationship Type="http://schemas.openxmlformats.org/officeDocument/2006/relationships/worksheet" Target="/xl/worksheets/sheet3.xml" Id="R4c6820d997b84e01" /><Relationship Type="http://schemas.openxmlformats.org/officeDocument/2006/relationships/worksheet" Target="/xl/worksheets/sheet4.xml" Id="Reb552810398d415c" /><Relationship Type="http://schemas.openxmlformats.org/officeDocument/2006/relationships/worksheet" Target="/xl/worksheets/sheet5.xml" Id="Rc6b5d9af95e64b66" /><Relationship Type="http://schemas.openxmlformats.org/officeDocument/2006/relationships/worksheet" Target="/xl/worksheets/sheet6.xml" Id="R65f7a7d45636415f" /><Relationship Type="http://schemas.openxmlformats.org/officeDocument/2006/relationships/worksheet" Target="/xl/worksheets/sheet7.xml" Id="R8da50c5977a54d1b" /><Relationship Type="http://schemas.openxmlformats.org/officeDocument/2006/relationships/worksheet" Target="/xl/worksheets/sheet8.xml" Id="Rbcb19eb706f24c99" /><Relationship Type="http://schemas.openxmlformats.org/officeDocument/2006/relationships/worksheet" Target="/xl/worksheets/sheet9.xml" Id="R6ecd098aca604d85" /><Relationship Type="http://schemas.openxmlformats.org/officeDocument/2006/relationships/worksheet" Target="/xl/worksheets/sheet10.xml" Id="R4c7bf48138cb4e37" /><Relationship Type="http://schemas.openxmlformats.org/officeDocument/2006/relationships/worksheet" Target="/xl/worksheets/sheet11.xml" Id="R93d3ff9f4baf47fc" /><Relationship Type="http://schemas.openxmlformats.org/officeDocument/2006/relationships/worksheet" Target="/xl/worksheets/sheet12.xml" Id="R821bda6c6e46425f" /><Relationship Type="http://schemas.openxmlformats.org/officeDocument/2006/relationships/worksheet" Target="/xl/worksheets/sheet13.xml" Id="Rdb4c2a700a064254" /><Relationship Type="http://schemas.openxmlformats.org/officeDocument/2006/relationships/worksheet" Target="/xl/worksheets/sheet14.xml" Id="Rce46eebacb83439e" /><Relationship Type="http://schemas.openxmlformats.org/officeDocument/2006/relationships/worksheet" Target="/xl/worksheets/sheet15.xml" Id="R55f525e0b5554996" /><Relationship Type="http://schemas.openxmlformats.org/officeDocument/2006/relationships/worksheet" Target="/xl/worksheets/sheet16.xml" Id="Rd56e978b12bd4c43" /><Relationship Type="http://schemas.openxmlformats.org/officeDocument/2006/relationships/worksheet" Target="/xl/worksheets/sheet17.xml" Id="R521dc6872a0c4c8b" /></Relationships>
</file>

<file path=xl/tables/table1.xml><?xml version="1.0" encoding="utf-8"?>
<x:table xmlns:x="http://schemas.openxmlformats.org/spreadsheetml/2006/main" id="1" name="HomeCreditQuestionMap" displayName="HomeCreditQuestionMap" ref="A4:Q34" headerRowCount="1" totalsRowCount="0" totalsRowShown="0">
  <x:tableColumns count="17">
    <x:tableColumn id="1" name="ID"/>
    <x:tableColumn id="2" name="Product"/>
    <x:tableColumn id="3" name="Seed/topic"/>
    <x:tableColumn id="4" name="Expansion query/topic"/>
    <x:tableColumn id="5" name="Journey stage"/>
    <x:tableColumn id="6" name="Intent type"/>
    <x:tableColumn id="7" name="Affiliate value"/>
    <x:tableColumn id="8" name="Evidence"/>
    <x:tableColumn id="9" name="Source readiness"/>
    <x:tableColumn id="10" name="Canonical owner"/>
    <x:tableColumn id="11" name="Recommended unit"/>
    <x:tableColumn id="12" name="New URL?"/>
    <x:tableColumn id="13" name="Priority"/>
    <x:tableColumn id="14" name="GEO answer target"/>
    <x:tableColumn id="15" name="Primary source"/>
    <x:tableColumn id="16" name="Volatility"/>
    <x:tableColumn id="17" name="Notes"/>
  </x:tableColumns>
  <x:tableStyleInfo name="TableStyleMedium2" showFirstColumn="0" showLastColumn="0" showRowStripes="1" showColumnStripes="0"/>
</x:table>
</file>

<file path=xl/tables/table2.xml><?xml version="1.0" encoding="utf-8"?>
<x:table xmlns:x="http://schemas.openxmlformats.org/spreadsheetml/2006/main" id="2" name="HomeCreditExecutionBriefs" displayName="HomeCreditExecutionBriefs" ref="A4:Q32" headerRowCount="1" totalsRowCount="0" totalsRowShown="0">
  <x:tableColumns count="17">
    <x:tableColumn id="1" name="Asset ID"/>
    <x:tableColumn id="2" name="Page role"/>
    <x:tableColumn id="3" name="Field / Level"/>
    <x:tableColumn id="4" name="Recommended copy / heading"/>
    <x:tableColumn id="5" name="Intent owner"/>
    <x:tableColumn id="6" name="Purpose"/>
    <x:tableColumn id="7" name="Must cover"/>
    <x:tableColumn id="8" name="Must avoid"/>
    <x:tableColumn id="9" name="GEO answer pattern"/>
    <x:tableColumn id="10" name="CTA placement"/>
    <x:tableColumn id="11" name="CTA objective"/>
    <x:tableColumn id="12" name="Internal links"/>
    <x:tableColumn id="13" name="Source requirement"/>
    <x:tableColumn id="14" name="Must verify before publish"/>
    <x:tableColumn id="15" name="Priority"/>
    <x:tableColumn id="16" name="Publish gate"/>
    <x:tableColumn id="17" name="Editor note"/>
  </x:tableColumns>
  <x:tableStyleInfo name="TableStyleMedium2" showFirstColumn="0" showLastColumn="0" showRowStripes="1" showColumnStripes="0"/>
</x:table>
</file>

<file path=xl/tables/table3.xml><?xml version="1.0" encoding="utf-8"?>
<x:table xmlns:x="http://schemas.openxmlformats.org/spreadsheetml/2006/main" id="3" name="HomeCreditDailySchedule" displayName="HomeCreditDailySchedule" ref="A4:P64" headerRowCount="1" totalsRowCount="0" totalsRowShown="0">
  <x:tableColumns count="16">
    <x:tableColumn id="1" name="Day"/>
    <x:tableColumn id="2" name="Date"/>
    <x:tableColumn id="3" name="Week"/>
    <x:tableColumn id="4" name="Asset ID"/>
    <x:tableColumn id="5" name="Content title / Task"/>
    <x:tableColumn id="6" name="Product"/>
    <x:tableColumn id="7" name="Intent layer"/>
    <x:tableColumn id="8" name="Publish mode"/>
    <x:tableColumn id="9" name="URL action"/>
    <x:tableColumn id="10" name="Canonical / Parent"/>
    <x:tableColumn id="11" name="CTA level"/>
    <x:tableColumn id="12" name="Source gate"/>
    <x:tableColumn id="13" name="Codex action"/>
    <x:tableColumn id="14" name="Priority"/>
    <x:tableColumn id="15" name="Status"/>
    <x:tableColumn id="16" name="Notes"/>
  </x:tableColumns>
  <x:tableStyleInfo name="TableStyleMedium2" showFirstColumn="0" showLastColumn="0" showRowStripes="1" showColumnStripes="0"/>
</x:table>
</file>

<file path=xl/tables/table4.xml><?xml version="1.0" encoding="utf-8"?>
<x:table xmlns:x="http://schemas.openxmlformats.org/spreadsheetml/2006/main" id="4" name="HomeCreditEvergreenQueue" displayName="HomeCreditEvergreenQueue" ref="A4:R164" headerRowCount="1" totalsRowCount="0" totalsRowShown="0">
  <x:tableColumns count="18">
    <x:tableColumn id="1" name="Queue #"/>
    <x:tableColumn id="2" name="Asset ID"/>
    <x:tableColumn id="3" name="Topic / Task"/>
    <x:tableColumn id="4" name="Product"/>
    <x:tableColumn id="5" name="Intent"/>
    <x:tableColumn id="6" name="Work mode"/>
    <x:tableColumn id="7" name="URL action"/>
    <x:tableColumn id="8" name="Canonical / Parent"/>
    <x:tableColumn id="9" name="CTA level"/>
    <x:tableColumn id="10" name="Source gate"/>
    <x:tableColumn id="11" name="Priority"/>
    <x:tableColumn id="12" name="Status"/>
    <x:tableColumn id="13" name="Origin"/>
    <x:tableColumn id="14" name="Last checked"/>
    <x:tableColumn id="15" name="Route / URL"/>
    <x:tableColumn id="16" name="Commit"/>
    <x:tableColumn id="17" name="Deploy"/>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HomeCreditRunLog" displayName="HomeCreditRunLog" ref="A3:Q203" headerRowCount="1" totalsRowCount="0" totalsRowShown="0">
  <x:tableColumns count="17">
    <x:tableColumn id="1" name="Run #"/>
    <x:tableColumn id="2" name="Started"/>
    <x:tableColumn id="3" name="Completed"/>
    <x:tableColumn id="4" name="Queue #"/>
    <x:tableColumn id="5" name="Asset ID"/>
    <x:tableColumn id="6" name="Topic"/>
    <x:tableColumn id="7" name="Decision"/>
    <x:tableColumn id="8" name="Route"/>
    <x:tableColumn id="9" name="Sources checked"/>
    <x:tableColumn id="10" name="Files changed"/>
    <x:tableColumn id="11" name="Checks"/>
    <x:tableColumn id="12" name="Commit"/>
    <x:tableColumn id="13" name="Push"/>
    <x:tableColumn id="14" name="Deploy"/>
    <x:tableColumn id="15" name="Production verify"/>
    <x:tableColumn id="16" name="Result"/>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395b48118f6849eb" /></Relationships>
</file>

<file path=xl/worksheets/_rels/sheet7.xml.rels>&#65279;<?xml version="1.0" encoding="utf-8"?><Relationships xmlns="http://schemas.openxmlformats.org/package/2006/relationships"><Relationship Type="http://schemas.openxmlformats.org/officeDocument/2006/relationships/table" Target="/xl/tables/table2.xml" Id="Rbe52a11785d947f0" /></Relationships>
</file>

<file path=xl/worksheets/_rels/sheet10.xml.rels>&#65279;<?xml version="1.0" encoding="utf-8"?><Relationships xmlns="http://schemas.openxmlformats.org/package/2006/relationships"><Relationship Type="http://schemas.openxmlformats.org/officeDocument/2006/relationships/table" Target="/xl/tables/table3.xml" Id="Rdb0ca425f4674f4c" /></Relationships>
</file>

<file path=xl/worksheets/_rels/sheet14.xml.rels>&#65279;<?xml version="1.0" encoding="utf-8"?><Relationships xmlns="http://schemas.openxmlformats.org/package/2006/relationships"><Relationship Type="http://schemas.openxmlformats.org/officeDocument/2006/relationships/table" Target="/xl/tables/table4.xml" Id="R2e8dda9420334fe9" /></Relationships>
</file>

<file path=xl/worksheets/_rels/sheet16.xml.rels>&#65279;<?xml version="1.0" encoding="utf-8"?><Relationships xmlns="http://schemas.openxmlformats.org/package/2006/relationships"><Relationship Type="http://schemas.openxmlformats.org/officeDocument/2006/relationships/table" Target="/xl/tables/table5.xml" Id="R53a3420ee283452b" /></Relationships>
</file>

<file path=xl/worksheets/sheet1.xml><?xml version="1.0" encoding="utf-8"?>
<x:worksheet xmlns:x="http://schemas.openxmlformats.org/spreadsheetml/2006/main">
  <x:sheetFormatPr defaultRowHeight="15"/>
  <x:cols>
    <x:col min="1" max="1" width="24" hidden="0" customWidth="1"/>
    <x:col min="2" max="2" width="42" hidden="0" customWidth="1"/>
    <x:col min="3" max="3" width="56" hidden="0" customWidth="1"/>
    <x:col min="4" max="4" width="10" hidden="0" customWidth="1"/>
  </x:cols>
  <x:sheetData>
    <x:row r="1">
      <x:c r="A1" s="8" t="str">
        <x:v>HOME CREDIT – SEO/GEO/AFFILIATE CONTENT SYSTEM</x:v>
      </x:c>
      <x:c r="B1" s="8"/>
      <x:c r="C1" s="8"/>
      <x:c r="D1" s="8"/>
      <x:c r="E1" s="8"/>
      <x:c r="F1" s="8"/>
      <x:c r="G1" s="8"/>
      <x:c r="H1" s="8"/>
    </x:row>
    <x:row r="2">
      <x:c r="A2" s="12" t="str">
        <x:v>Phạm vi: Vay tiền mặt Home Credit + Thẻ tín dụng Home Credit trên 1phutdangky.com. Kết hợp product intent, câu hỏi/giải đáp, trust, internal linking và affiliate CTA theo đúng canonical owner.</x:v>
      </x:c>
      <x:c r="B2" s="12"/>
      <x:c r="C2" s="12"/>
      <x:c r="D2" s="12"/>
      <x:c r="E2" s="12"/>
      <x:c r="F2" s="12"/>
      <x:c r="G2" s="12"/>
      <x:c r="H2" s="12"/>
    </x:row>
    <x:row r="4">
      <x:c r="A4" s="20" t="str">
        <x:v>Strategic decision</x:v>
      </x:c>
      <x:c r="B4" s="20" t="str">
        <x:v>Recommendation</x:v>
      </x:c>
      <x:c r="C4" s="20" t="str">
        <x:v>Why</x:v>
      </x:c>
      <x:c r="D4" s="20" t="str">
        <x:v>Priority</x:v>
      </x:c>
    </x:row>
    <x:row r="5">
      <x:c r="A5" s="22" t="str">
        <x:v>Pillar L – Vay tiền mặt</x:v>
      </x:c>
      <x:c r="B5" s="22" t="str">
        <x:v>Giữ URL hiện tại và tối ưu sâu</x:v>
      </x:c>
      <x:c r="C5" s="22" t="str">
        <x:v>Đây là product/acquisition page đã tồn tại trên 1 Phút Đăng Ký.</x:v>
      </x:c>
      <x:c r="D5" s="22" t="str">
        <x:v>P0</x:v>
      </x:c>
    </x:row>
    <x:row r="6">
      <x:c r="A6" s="22" t="str">
        <x:v>Pillar C – Thẻ tín dụng</x:v>
      </x:c>
      <x:c r="B6" s="22" t="str">
        <x:v>Tạo pillar riêng</x:v>
      </x:c>
      <x:c r="C6" s="22" t="str">
        <x:v>Thẻ tín dụng có intent, điều kiện, phí/lãi, lifecycle và support hoàn toàn khác vay tiền mặt.</x:v>
      </x:c>
      <x:c r="D6" s="22" t="str">
        <x:v>P0</x:v>
      </x:c>
    </x:row>
    <x:row r="7">
      <x:c r="A7" s="22" t="str">
        <x:v>Affiliate conversion</x:v>
      </x:c>
      <x:c r="B7" s="22" t="str">
        <x:v>Đặt trong từng product pillar + support phù hợp</x:v>
      </x:c>
      <x:c r="C7" s="22" t="str">
        <x:v>Home Credit phù hợp product-level conversion; không cần một referral-code pillar riêng.</x:v>
      </x:c>
      <x:c r="D7" s="22" t="str">
        <x:v>P0</x:v>
      </x:c>
    </x:row>
    <x:row r="8">
      <x:c r="A8" s="22" t="str">
        <x:v>Loan support cluster</x:v>
      </x:c>
      <x:c r="B8" s="22" t="str">
        <x:v>Điều kiện, lãi/phí, bị từ chối, giải ngân, thanh toán, tất toán, vay thêm</x:v>
      </x:c>
      <x:c r="C8" s="22" t="str">
        <x:v>Các câu hỏi này nằm ở các giai đoạn khác nhau của hành trình vay.</x:v>
      </x:c>
      <x:c r="D8" s="22" t="str">
        <x:v>P1</x:v>
      </x:c>
    </x:row>
    <x:row r="9">
      <x:c r="A9" s="22" t="str">
        <x:v>Card support cluster</x:v>
      </x:c>
      <x:c r="B9" s="22" t="str">
        <x:v>Điều kiện, phí/lãi, sao kê, tối thiểu, kích hoạt, rút tiền, hạn mức, trả góp</x:v>
      </x:c>
      <x:c r="C9" s="22" t="str">
        <x:v>Hỗ trợ cả pre-application lẫn post-approval.</x:v>
      </x:c>
      <x:c r="D9" s="22" t="str">
        <x:v>P1</x:v>
      </x:c>
    </x:row>
    <x:row r="10">
      <x:c r="A10" s="22" t="str">
        <x:v>Bridge content</x:v>
      </x:c>
      <x:c r="B10" s="22" t="str">
        <x:v>Vay tiền mặt vs thẻ tín dụng Home Credit</x:v>
      </x:c>
      <x:c r="C10" s="22" t="str">
        <x:v>Giúp định tuyến đúng sản phẩm mà không đưa khuyến nghị tài chính cá nhân hóa.</x:v>
      </x:c>
      <x:c r="D10" s="22" t="str">
        <x:v>P1</x:v>
      </x:c>
    </x:row>
    <x:row r="11">
      <x:c r="A11" s="22" t="str">
        <x:v>Source rule</x:v>
      </x:c>
      <x:c r="B11" s="22" t="str">
        <x:v>Home Credit official first</x:v>
      </x:c>
      <x:c r="C11" s="22" t="str">
        <x:v>Phí/lãi/điều kiện thay đổi thường xuyên; phải kiểm nguồn hiện hành trước publish.</x:v>
      </x:c>
      <x:c r="D11" s="22" t="str">
        <x:v>P0</x:v>
      </x:c>
    </x:row>
    <x:row r="13">
      <x:c r="A13" s="67" t="str">
        <x:v>EVERGREEN ENGINE ADDED</x:v>
      </x:c>
      <x:c r="B13" s="67"/>
      <x:c r="C13" s="67"/>
      <x:c r="D13" s="67"/>
    </x:row>
    <x:row r="14">
      <x:c r="A14" s="22" t="str">
        <x:v>Daily command</x:v>
      </x:c>
      <x:c r="B14" s="22" t="str">
        <x:v>Bắt đầu tạo bài mới Home Credit</x:v>
      </x:c>
      <x:c r="C14" s="22" t="str">
        <x:v>Codex selects next Ready item</x:v>
      </x:c>
      <x:c r="D14" s="22" t="str">
        <x:v>No day-count dependency</x:v>
      </x:c>
    </x:row>
    <x:row r="15">
      <x:c r="A15" s="22" t="str">
        <x:v>State</x:v>
      </x:c>
      <x:c r="B15" s="22" t="str">
        <x:v>Evergreen Queue + Run Log</x:v>
      </x:c>
      <x:c r="C15" s="22" t="str">
        <x:v>Persists what was done</x:v>
      </x:c>
      <x:c r="D15" s="22" t="str">
        <x:v>Next run continues automatically</x:v>
      </x:c>
    </x:row>
    <x:row r="16">
      <x:c r="A16" s="22" t="str">
        <x:v>After initial 60</x:v>
      </x:c>
      <x:c r="B16" s="22" t="str">
        <x:v>Discovery Mode</x:v>
      </x:c>
      <x:c r="C16" s="22" t="str">
        <x:v>Adds evidence-based candidates</x:v>
      </x:c>
      <x:c r="D16" s="22" t="str">
        <x:v>No need for new manual plan</x:v>
      </x:c>
    </x:row>
    <x:row r="17">
      <x:c r="A17" s="22" t="str">
        <x:v>URL rule</x:v>
      </x:c>
      <x:c r="B17" s="22" t="str">
        <x:v>New URL only when intent/source/cannibalization gate passes</x:v>
      </x:c>
      <x:c r="C17" s="22" t="str">
        <x:v>Else update/section</x:v>
      </x:c>
      <x:c r="D17" s="22" t="str">
        <x:v>Avoid thin content</x:v>
      </x:c>
    </x:row>
    <x:row r="18">
      <x:c r="A18" s="22" t="str">
        <x:v>Deployment</x:v>
      </x:c>
      <x:c r="B18" s="22" t="str">
        <x:v>Use existing GitHub + Cloudflare workflow</x:v>
      </x:c>
      <x:c r="C18" s="22" t="str">
        <x:v>Commit/deploy after checks when authorized</x:v>
      </x:c>
      <x:c r="D18" s="22" t="str">
        <x:v>Log commit/deploy</x:v>
      </x:c>
    </x:row>
    <x:row r="19">
      <x:c r="A19" s="22" t="str">
        <x:v>Operator effort</x:v>
      </x:c>
      <x:c r="B19" s="22" t="str">
        <x:v>One command per run</x:v>
      </x:c>
      <x:c r="C19" s="22" t="str">
        <x:v>User reviews report only</x:v>
      </x:c>
      <x:c r="D19" s="22" t="str">
        <x:v>No topic selection required</x:v>
      </x:c>
    </x:row>
  </x:sheetData>
  <x:mergeCells>
    <x:mergeCell ref="A1:H1"/>
    <x:mergeCell ref="A2:H2"/>
    <x:mergeCell ref="A13:D13"/>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8" hidden="0" customWidth="1"/>
    <x:col min="2" max="2" width="64" hidden="0" customWidth="1"/>
    <x:col min="3" max="3" width="66" hidden="0" customWidth="1"/>
    <x:col min="4" max="4" width="22" hidden="0" customWidth="1"/>
  </x:cols>
  <x:sheetData>
    <x:row r="1">
      <x:c r="A1" s="28" t="str">
        <x:v>HOME CREDIT – PLAN SETTINGS</x:v>
      </x:c>
      <x:c r="B1" s="28"/>
      <x:c r="C1" s="28"/>
      <x:c r="D1" s="28"/>
    </x:row>
    <x:row r="3">
      <x:c r="A3" s="20" t="str">
        <x:v>Setting</x:v>
      </x:c>
      <x:c r="B3" s="20" t="str">
        <x:v>Value</x:v>
      </x:c>
      <x:c r="C3" s="20" t="str">
        <x:v>Meaning</x:v>
      </x:c>
      <x:c r="D3" s="20" t="str">
        <x:v>Editable?</x:v>
      </x:c>
    </x:row>
    <x:row r="4">
      <x:c r="A4" s="22" t="str">
        <x:v>Start date</x:v>
      </x:c>
      <x:c r="B4" s="32" t="n">
        <x:v>46323</x:v>
      </x:c>
      <x:c r="C4" s="22" t="str">
        <x:v>Ngày 1 của Daily Publishing Schedule</x:v>
      </x:c>
      <x:c r="D4" s="22" t="str">
        <x:v>Yes</x:v>
      </x:c>
    </x:row>
    <x:row r="5">
      <x:c r="A5" s="22" t="str">
        <x:v>Plan length</x:v>
      </x:c>
      <x:c r="B5" s="22" t="n">
        <x:v>60</x:v>
      </x:c>
      <x:c r="C5" s="22" t="str">
        <x:v>Chu kỳ nội dung</x:v>
      </x:c>
      <x:c r="D5" s="22" t="str">
        <x:v>No</x:v>
      </x:c>
    </x:row>
    <x:row r="6">
      <x:c r="A6" s="22" t="str">
        <x:v>Website</x:v>
      </x:c>
      <x:c r="B6" s="22" t="str">
        <x:v>https://1phutdangky.com</x:v>
      </x:c>
      <x:c r="C6" s="22" t="str">
        <x:v>Target site</x:v>
      </x:c>
      <x:c r="D6" s="22" t="str">
        <x:v>No</x:v>
      </x:c>
    </x:row>
    <x:row r="7">
      <x:c r="A7" s="22" t="str">
        <x:v>Pillar L – Cash Loan</x:v>
      </x:c>
      <x:c r="B7" s="22" t="str">
        <x:v>https://1phutdangky.com/vay-tien-mat/vay-tien-mat-home-credit-online/</x:v>
      </x:c>
      <x:c r="C7" s="22" t="str">
        <x:v>Existing URL – keep</x:v>
      </x:c>
      <x:c r="D7" s="22" t="str">
        <x:v>No</x:v>
      </x:c>
    </x:row>
    <x:row r="8">
      <x:c r="A8" s="22" t="str">
        <x:v>Pillar C – Credit Card</x:v>
      </x:c>
      <x:c r="B8" s="22" t="str">
        <x:v>https://1phutdangky.com/the-tin-dung/mo-the-tin-dung-home-credit-online/</x:v>
      </x:c>
      <x:c r="C8" s="22" t="str">
        <x:v>Candidate new URL</x:v>
      </x:c>
      <x:c r="D8" s="22" t="str">
        <x:v>Slug can follow project conventions</x:v>
      </x:c>
    </x:row>
    <x:row r="9">
      <x:c r="A9" s="22" t="str">
        <x:v>Conversion model</x:v>
      </x:c>
      <x:c r="B9" s="22" t="str">
        <x:v>Product-level affiliate CTA</x:v>
      </x:c>
      <x:c r="C9" s="22" t="str">
        <x:v>Không tách referral-code pillar riêng</x:v>
      </x:c>
      <x:c r="D9" s="22" t="str">
        <x:v>No</x:v>
      </x:c>
    </x:row>
    <x:row r="10">
      <x:c r="A10" s="22" t="str">
        <x:v>Loan rate rule</x:v>
      </x:c>
      <x:c r="B10" s="22" t="str">
        <x:v>Không trộn lãi suất phẳng với lãi suất dư nợ giảm dần</x:v>
      </x:c>
      <x:c r="C10" s="22" t="str">
        <x:v>Nếu cùng bài, phải ghi rõ loại lãi và nguồn</x:v>
      </x:c>
      <x:c r="D10" s="22" t="str">
        <x:v>No</x:v>
      </x:c>
    </x:row>
    <x:row r="11">
      <x:c r="A11" s="22" t="str">
        <x:v>Approval rule</x:v>
      </x:c>
      <x:c r="B11" s="22" t="str">
        <x:v>Không hứa chắc chắn được duyệt / hạn mức / giải ngân</x:v>
      </x:c>
      <x:c r="C11" s="22" t="str">
        <x:v>Home Credit thẩm định từng hồ sơ</x:v>
      </x:c>
      <x:c r="D11" s="22" t="str">
        <x:v>No</x:v>
      </x:c>
    </x:row>
    <x:row r="12">
      <x:c r="A12" s="22" t="str">
        <x:v>Credit-card tariff rule</x:v>
      </x:c>
      <x:c r="B12" s="22" t="str">
        <x:v>Luôn kiểm biểu phí hiện hành mới nhất</x:v>
      </x:c>
      <x:c r="C12" s="22" t="str">
        <x:v>Home Credit có nhiều đợt cập nhật trong 2026</x:v>
      </x:c>
      <x:c r="D12" s="22" t="str">
        <x:v>No</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42" hidden="0" customWidth="1"/>
    <x:col min="4" max="4" width="28" hidden="0" customWidth="1"/>
    <x:col min="5" max="5" width="18" hidden="0" customWidth="1"/>
    <x:col min="6" max="6" width="30" hidden="0" customWidth="1"/>
    <x:col min="7" max="7" width="28" hidden="0" customWidth="1"/>
    <x:col min="8" max="8" width="18" hidden="0" customWidth="1"/>
    <x:col min="9" max="9" width="18" hidden="0" customWidth="1"/>
    <x:col min="10" max="10" width="10" hidden="0" customWidth="1"/>
  </x:cols>
  <x:sheetData>
    <x:row r="1">
      <x:c r="A1" s="38" t="str">
        <x:v>HOME CREDIT – UNIFIED STRATEGY</x:v>
      </x:c>
      <x:c r="B1" s="38"/>
      <x:c r="C1" s="38"/>
      <x:c r="D1" s="38"/>
      <x:c r="E1" s="38"/>
      <x:c r="F1" s="38"/>
      <x:c r="G1" s="38"/>
      <x:c r="H1" s="38"/>
      <x:c r="I1" s="38"/>
      <x:c r="J1" s="38"/>
    </x:row>
    <x:row r="2">
      <x:c r="A2" s="42" t="str">
        <x:v>Không có file keyword riêng cho Home Credit trong task này, nên workbook dùng product seed từ URL hiện tại + official Home Credit + SERP question patterns. Các query expansion được đánh dấu là research-led, không gán volume giả.</x:v>
      </x:c>
      <x:c r="B2" s="42"/>
      <x:c r="C2" s="42"/>
      <x:c r="D2" s="42"/>
      <x:c r="E2" s="42"/>
      <x:c r="F2" s="42"/>
      <x:c r="G2" s="42"/>
      <x:c r="H2" s="42"/>
      <x:c r="I2" s="42"/>
      <x:c r="J2" s="42"/>
    </x:row>
    <x:row r="4">
      <x:c r="A4" s="20" t="str">
        <x:v>Layer</x:v>
      </x:c>
      <x:c r="B4" s="20" t="str">
        <x:v>Primary owner</x:v>
      </x:c>
      <x:c r="C4" s="20" t="str">
        <x:v>Business job</x:v>
      </x:c>
      <x:c r="D4" s="20" t="str">
        <x:v>Intent family</x:v>
      </x:c>
      <x:c r="E4" s="20" t="str">
        <x:v>Affiliate value</x:v>
      </x:c>
      <x:c r="F4" s="20" t="str">
        <x:v>SEO/GEO role</x:v>
      </x:c>
      <x:c r="G4" s="20" t="str">
        <x:v>Default unit</x:v>
      </x:c>
      <x:c r="H4" s="20" t="str">
        <x:v>CTA strength</x:v>
      </x:c>
      <x:c r="I4" s="20" t="str">
        <x:v>Source volatility</x:v>
      </x:c>
      <x:c r="J4" s="20" t="str">
        <x:v>Priority</x:v>
      </x:c>
    </x:row>
    <x:row r="5">
      <x:c r="A5" s="22" t="str">
        <x:v>Cash Loan Acquisition</x:v>
      </x:c>
      <x:c r="B5" s="22" t="str">
        <x:v>Pillar L</x:v>
      </x:c>
      <x:c r="C5" s="22" t="str">
        <x:v>Thu hút người đang tìm vay tiền mặt Home Credit</x:v>
      </x:c>
      <x:c r="D5" s="22" t="str">
        <x:v>Transactional loan</x:v>
      </x:c>
      <x:c r="E5" s="22" t="str">
        <x:v>Very High</x:v>
      </x:c>
      <x:c r="F5" s="22" t="str">
        <x:v>Money page / canonical owner</x:v>
      </x:c>
      <x:c r="G5" s="22" t="str">
        <x:v>Existing pillar</x:v>
      </x:c>
      <x:c r="H5" s="22" t="str">
        <x:v>High</x:v>
      </x:c>
      <x:c r="I5" s="22" t="str">
        <x:v>High</x:v>
      </x:c>
      <x:c r="J5" s="22" t="str">
        <x:v>P0</x:v>
      </x:c>
    </x:row>
    <x:row r="6">
      <x:c r="A6" s="22" t="str">
        <x:v>Credit Card Acquisition</x:v>
      </x:c>
      <x:c r="B6" s="22" t="str">
        <x:v>Pillar C</x:v>
      </x:c>
      <x:c r="C6" s="22" t="str">
        <x:v>Thu hút người muốn mở thẻ tín dụng Home Credit</x:v>
      </x:c>
      <x:c r="D6" s="22" t="str">
        <x:v>Transactional card</x:v>
      </x:c>
      <x:c r="E6" s="22" t="str">
        <x:v>Very High</x:v>
      </x:c>
      <x:c r="F6" s="22" t="str">
        <x:v>Money page / canonical owner</x:v>
      </x:c>
      <x:c r="G6" s="22" t="str">
        <x:v>New pillar</x:v>
      </x:c>
      <x:c r="H6" s="22" t="str">
        <x:v>High</x:v>
      </x:c>
      <x:c r="I6" s="22" t="str">
        <x:v>Very High</x:v>
      </x:c>
      <x:c r="J6" s="22" t="str">
        <x:v>P0</x:v>
      </x:c>
    </x:row>
    <x:row r="7">
      <x:c r="A7" s="22" t="str">
        <x:v>Loan Qualification</x:v>
      </x:c>
      <x:c r="B7" s="22" t="str">
        <x:v>Pillar L + support</x:v>
      </x:c>
      <x:c r="C7" s="22" t="str">
        <x:v>Điều kiện, hồ sơ, độ tuổi, giấy tờ</x:v>
      </x:c>
      <x:c r="D7" s="22" t="str">
        <x:v>Eligibility</x:v>
      </x:c>
      <x:c r="E7" s="22" t="str">
        <x:v>High</x:v>
      </x:c>
      <x:c r="F7" s="22" t="str">
        <x:v>Pre-action answers</x:v>
      </x:c>
      <x:c r="G7" s="22" t="str">
        <x:v>Support articles / sections</x:v>
      </x:c>
      <x:c r="H7" s="22" t="str">
        <x:v>Medium</x:v>
      </x:c>
      <x:c r="I7" s="22" t="str">
        <x:v>Medium</x:v>
      </x:c>
      <x:c r="J7" s="22" t="str">
        <x:v>P1</x:v>
      </x:c>
    </x:row>
    <x:row r="8">
      <x:c r="A8" s="22" t="str">
        <x:v>Loan Cost</x:v>
      </x:c>
      <x:c r="B8" s="22" t="str">
        <x:v>Pillar L + support</x:v>
      </x:c>
      <x:c r="C8" s="22" t="str">
        <x:v>Lãi, phí, bảo hiểm, tất toán</x:v>
      </x:c>
      <x:c r="D8" s="22" t="str">
        <x:v>Cost / YMYL</x:v>
      </x:c>
      <x:c r="E8" s="22" t="str">
        <x:v>High</x:v>
      </x:c>
      <x:c r="F8" s="22" t="str">
        <x:v>Decision-support</x:v>
      </x:c>
      <x:c r="G8" s="22" t="str">
        <x:v>Support / dynamic tables</x:v>
      </x:c>
      <x:c r="H8" s="22" t="str">
        <x:v>Medium</x:v>
      </x:c>
      <x:c r="I8" s="22" t="str">
        <x:v>Very High</x:v>
      </x:c>
      <x:c r="J8" s="22" t="str">
        <x:v>P0</x:v>
      </x:c>
    </x:row>
    <x:row r="9">
      <x:c r="A9" s="22" t="str">
        <x:v>Loan Troubleshooting</x:v>
      </x:c>
      <x:c r="B9" s="22" t="str">
        <x:v>Loan support</x:v>
      </x:c>
      <x:c r="C9" s="22" t="str">
        <x:v>Bị từ chối, giải ngân, app/hồ sơ, vay thêm</x:v>
      </x:c>
      <x:c r="D9" s="22" t="str">
        <x:v>Problem</x:v>
      </x:c>
      <x:c r="E9" s="22" t="str">
        <x:v>Medium-High</x:v>
      </x:c>
      <x:c r="F9" s="22" t="str">
        <x:v>Task completion</x:v>
      </x:c>
      <x:c r="G9" s="22" t="str">
        <x:v>Support hub/articles</x:v>
      </x:c>
      <x:c r="H9" s="22" t="str">
        <x:v>Low-Medium</x:v>
      </x:c>
      <x:c r="I9" s="22" t="str">
        <x:v>Medium</x:v>
      </x:c>
      <x:c r="J9" s="22" t="str">
        <x:v>P1</x:v>
      </x:c>
    </x:row>
    <x:row r="10">
      <x:c r="A10" s="22" t="str">
        <x:v>Loan Servicing</x:v>
      </x:c>
      <x:c r="B10" s="22" t="str">
        <x:v>Loan support</x:v>
      </x:c>
      <x:c r="C10" s="22" t="str">
        <x:v>Thanh toán, trễ hạn, quản lý hợp đồng</x:v>
      </x:c>
      <x:c r="D10" s="22" t="str">
        <x:v>Post-action</x:v>
      </x:c>
      <x:c r="E10" s="22" t="str">
        <x:v>Medium</x:v>
      </x:c>
      <x:c r="F10" s="22" t="str">
        <x:v>Retention / utility</x:v>
      </x:c>
      <x:c r="G10" s="22" t="str">
        <x:v>Support articles / FAQ</x:v>
      </x:c>
      <x:c r="H10" s="22" t="str">
        <x:v>Low</x:v>
      </x:c>
      <x:c r="I10" s="22" t="str">
        <x:v>Medium</x:v>
      </x:c>
      <x:c r="J10" s="22" t="str">
        <x:v>P1</x:v>
      </x:c>
    </x:row>
    <x:row r="11">
      <x:c r="A11" s="22" t="str">
        <x:v>Card Qualification</x:v>
      </x:c>
      <x:c r="B11" s="22" t="str">
        <x:v>Pillar C + support</x:v>
      </x:c>
      <x:c r="C11" s="22" t="str">
        <x:v>Điều kiện, giấy tờ, tuổi, hạn mức</x:v>
      </x:c>
      <x:c r="D11" s="22" t="str">
        <x:v>Eligibility</x:v>
      </x:c>
      <x:c r="E11" s="22" t="str">
        <x:v>High</x:v>
      </x:c>
      <x:c r="F11" s="22" t="str">
        <x:v>Pre-action answers</x:v>
      </x:c>
      <x:c r="G11" s="22" t="str">
        <x:v>Support / sections</x:v>
      </x:c>
      <x:c r="H11" s="22" t="str">
        <x:v>Medium</x:v>
      </x:c>
      <x:c r="I11" s="22" t="str">
        <x:v>Medium</x:v>
      </x:c>
      <x:c r="J11" s="22" t="str">
        <x:v>P1</x:v>
      </x:c>
    </x:row>
    <x:row r="12">
      <x:c r="A12" s="22" t="str">
        <x:v>Card Cost &amp; Lifecycle</x:v>
      </x:c>
      <x:c r="B12" s="22" t="str">
        <x:v>Pillar C + support</x:v>
      </x:c>
      <x:c r="C12" s="22" t="str">
        <x:v>Phí/lãi, sao kê, tối thiểu, rút tiền, trả góp</x:v>
      </x:c>
      <x:c r="D12" s="22" t="str">
        <x:v>Cost / post-action</x:v>
      </x:c>
      <x:c r="E12" s="22" t="str">
        <x:v>High</x:v>
      </x:c>
      <x:c r="F12" s="22" t="str">
        <x:v>Decision + servicing</x:v>
      </x:c>
      <x:c r="G12" s="22" t="str">
        <x:v>Support articles</x:v>
      </x:c>
      <x:c r="H12" s="22" t="str">
        <x:v>Low-Medium</x:v>
      </x:c>
      <x:c r="I12" s="22" t="str">
        <x:v>Very High</x:v>
      </x:c>
      <x:c r="J12" s="22" t="str">
        <x:v>P0</x:v>
      </x:c>
    </x:row>
    <x:row r="13">
      <x:c r="A13" s="22" t="str">
        <x:v>Bridge</x:v>
      </x:c>
      <x:c r="B13" s="22" t="str">
        <x:v>Loan ↔ Card</x:v>
      </x:c>
      <x:c r="C13" s="22" t="str">
        <x:v>Giúp chọn đúng loại sản phẩm theo nhu cầu thông tin</x:v>
      </x:c>
      <x:c r="D13" s="22" t="str">
        <x:v>Clarification</x:v>
      </x:c>
      <x:c r="E13" s="22" t="str">
        <x:v>Medium</x:v>
      </x:c>
      <x:c r="F13" s="22" t="str">
        <x:v>Entity/intent routing</x:v>
      </x:c>
      <x:c r="G13" s="22" t="str">
        <x:v>Bridge article</x:v>
      </x:c>
      <x:c r="H13" s="22" t="str">
        <x:v>Low-Medium</x:v>
      </x:c>
      <x:c r="I13" s="22" t="str">
        <x:v>Medium</x:v>
      </x:c>
      <x:c r="J13" s="22" t="str">
        <x:v>P1</x:v>
      </x:c>
    </x:row>
    <x:row r="14">
      <x:c r="A14" s="22" t="str">
        <x:v>Trust &amp; Safety</x:v>
      </x:c>
      <x:c r="B14" s="22" t="str">
        <x:v>All</x:v>
      </x:c>
      <x:c r="C14" s="22" t="str">
        <x:v>Official link/app, không chia sẻ OTP/PIN, disclosure</x:v>
      </x:c>
      <x:c r="D14" s="22" t="str">
        <x:v>Trust</x:v>
      </x:c>
      <x:c r="E14" s="22" t="str">
        <x:v>High</x:v>
      </x:c>
      <x:c r="F14" s="22" t="str">
        <x:v>YMYL trust</x:v>
      </x:c>
      <x:c r="G14" s="22" t="str">
        <x:v>Sections / support</x:v>
      </x:c>
      <x:c r="H14" s="22" t="str">
        <x:v>Low</x:v>
      </x:c>
      <x:c r="I14" s="22" t="str">
        <x:v>Low</x:v>
      </x:c>
      <x:c r="J14" s="22" t="str">
        <x:v>P1</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Views>
    <x:sheetView workbookViewId="0">
      <x:pane xSplit="4" ySplit="4" topLeftCell="E5" activePane="bottomRight" state="frozen"/>
    </x:sheetView>
  </x:sheetViews>
  <x:sheetFormatPr defaultRowHeight="15"/>
  <x:cols>
    <x:col min="1" max="1" width="7" hidden="0" customWidth="1"/>
    <x:col min="2" max="2" width="18" hidden="0" customWidth="1"/>
    <x:col min="3" max="3" width="28" hidden="0" customWidth="1"/>
    <x:col min="4" max="4" width="48" hidden="0" customWidth="1"/>
    <x:col min="5" max="5" width="20" hidden="0" customWidth="1"/>
    <x:col min="6" max="6" width="24" hidden="0" customWidth="1"/>
    <x:col min="7" max="7" width="18" hidden="0" customWidth="1"/>
    <x:col min="8" max="8" width="16" hidden="0" customWidth="1"/>
    <x:col min="9" max="9" width="22" hidden="0" customWidth="1"/>
    <x:col min="10" max="10" width="24" hidden="0" customWidth="1"/>
    <x:col min="11" max="11" width="28" hidden="0" customWidth="1"/>
    <x:col min="12" max="12" width="14" hidden="0" customWidth="1"/>
    <x:col min="13" max="13" width="10" hidden="0" customWidth="1"/>
    <x:col min="14" max="14" width="48" hidden="0" customWidth="1"/>
    <x:col min="15" max="15" width="64" hidden="0" customWidth="1"/>
    <x:col min="16" max="16" width="16" hidden="0" customWidth="1"/>
    <x:col min="17" max="17" width="42" hidden="0" customWidth="1"/>
  </x:cols>
  <x:sheetData>
    <x:row r="1">
      <x:c r="A1" s="28" t="str">
        <x:v>HOME CREDIT – SEED → QUESTION / PROBLEM / CONVERSION MAP</x:v>
      </x:c>
      <x:c r="B1" s="28"/>
      <x:c r="C1" s="28"/>
      <x:c r="D1" s="28"/>
      <x:c r="E1" s="28"/>
      <x:c r="F1" s="28"/>
      <x:c r="G1" s="28"/>
      <x:c r="H1" s="28"/>
      <x:c r="I1" s="28"/>
      <x:c r="J1" s="28"/>
      <x:c r="K1" s="28"/>
      <x:c r="L1" s="28"/>
      <x:c r="M1" s="28"/>
      <x:c r="N1" s="28"/>
      <x:c r="O1" s="28"/>
      <x:c r="P1" s="28"/>
      <x:c r="Q1" s="28"/>
    </x:row>
    <x:row r="2">
      <x:c r="A2" s="12" t="str">
        <x:v>Evidence = official Home Credit / current SERP. 'New URL' chỉ là recommendation; Codex vẫn phải kiểm publish gate trước khi tạo route.</x:v>
      </x:c>
      <x:c r="B2" s="12"/>
      <x:c r="C2" s="12"/>
      <x:c r="D2" s="12"/>
      <x:c r="E2" s="12"/>
      <x:c r="F2" s="12"/>
      <x:c r="G2" s="12"/>
      <x:c r="H2" s="12"/>
      <x:c r="I2" s="12"/>
      <x:c r="J2" s="12"/>
      <x:c r="K2" s="12"/>
      <x:c r="L2" s="12"/>
      <x:c r="M2" s="12"/>
      <x:c r="N2" s="12"/>
      <x:c r="O2" s="12"/>
      <x:c r="P2" s="12"/>
      <x:c r="Q2" s="12"/>
    </x:row>
    <x:row r="4">
      <x:c r="A4" s="20" t="str">
        <x:v>ID</x:v>
      </x:c>
      <x:c r="B4" s="20" t="str">
        <x:v>Product</x:v>
      </x:c>
      <x:c r="C4" s="20" t="str">
        <x:v>Seed/topic</x:v>
      </x:c>
      <x:c r="D4" s="20" t="str">
        <x:v>Expansion query/topic</x:v>
      </x:c>
      <x:c r="E4" s="20" t="str">
        <x:v>Journey stage</x:v>
      </x:c>
      <x:c r="F4" s="20" t="str">
        <x:v>Intent type</x:v>
      </x:c>
      <x:c r="G4" s="20" t="str">
        <x:v>Affiliate value</x:v>
      </x:c>
      <x:c r="H4" s="20" t="str">
        <x:v>Evidence</x:v>
      </x:c>
      <x:c r="I4" s="20" t="str">
        <x:v>Source readiness</x:v>
      </x:c>
      <x:c r="J4" s="20" t="str">
        <x:v>Canonical owner</x:v>
      </x:c>
      <x:c r="K4" s="20" t="str">
        <x:v>Recommended unit</x:v>
      </x:c>
      <x:c r="L4" s="20" t="str">
        <x:v>New URL?</x:v>
      </x:c>
      <x:c r="M4" s="20" t="str">
        <x:v>Priority</x:v>
      </x:c>
      <x:c r="N4" s="20" t="str">
        <x:v>GEO answer target</x:v>
      </x:c>
      <x:c r="O4" s="20" t="str">
        <x:v>Primary source</x:v>
      </x:c>
      <x:c r="P4" s="20" t="str">
        <x:v>Volatility</x:v>
      </x:c>
      <x:c r="Q4" s="20" t="str">
        <x:v>Notes</x:v>
      </x:c>
    </x:row>
    <x:row r="5">
      <x:c r="A5" s="22" t="str">
        <x:v>L01</x:v>
      </x:c>
      <x:c r="B5" s="22" t="str">
        <x:v>Cash Loan</x:v>
      </x:c>
      <x:c r="C5" s="22" t="str">
        <x:v>vay tiền mặt Home Credit online</x:v>
      </x:c>
      <x:c r="D5" s="22" t="str">
        <x:v>Vay tiền mặt Home Credit online</x:v>
      </x:c>
      <x:c r="E5" s="22" t="str">
        <x:v>Acquisition</x:v>
      </x:c>
      <x:c r="F5" s="22" t="str">
        <x:v>Transactional</x:v>
      </x:c>
      <x:c r="G5" s="22" t="str">
        <x:v>Very High</x:v>
      </x:c>
      <x:c r="H5" s="22" t="str">
        <x:v>Owned page + official</x:v>
      </x:c>
      <x:c r="I5" s="22" t="str">
        <x:v>Good</x:v>
      </x:c>
      <x:c r="J5" s="22" t="str">
        <x:v>Pillar L</x:v>
      </x:c>
      <x:c r="K5" s="22" t="str">
        <x:v>Existing pillar</x:v>
      </x:c>
      <x:c r="L5" s="22" t="str">
        <x:v>Keep</x:v>
      </x:c>
      <x:c r="M5" s="22" t="str">
        <x:v>P0</x:v>
      </x:c>
      <x:c r="N5" s="22" t="str">
        <x:v>Giải thích sản phẩm, điều kiện, chi phí, quy trình và thẩm định.</x:v>
      </x:c>
      <x:c r="O5" s="22" t="str">
        <x:v>https://1phutdangky.com/vay-tien-mat/vay-tien-mat-home-credit-online/</x:v>
      </x:c>
      <x:c r="P5" s="22" t="str">
        <x:v>High</x:v>
      </x:c>
      <x:c r="Q5" s="22" t="str">
        <x:v>Existing money page.</x:v>
      </x:c>
    </x:row>
    <x:row r="6">
      <x:c r="A6" s="22" t="str">
        <x:v>L02</x:v>
      </x:c>
      <x:c r="B6" s="22" t="str">
        <x:v>Cash Loan</x:v>
      </x:c>
      <x:c r="C6" s="22" t="str">
        <x:v>vay Home Credit</x:v>
      </x:c>
      <x:c r="D6" s="22" t="str">
        <x:v>Vay Home Credit cần gì? Điều kiện và giấy tờ</x:v>
      </x:c>
      <x:c r="E6" s="22" t="str">
        <x:v>Pre-action</x:v>
      </x:c>
      <x:c r="F6" s="22" t="str">
        <x:v>Eligibility</x:v>
      </x:c>
      <x:c r="G6" s="22" t="str">
        <x:v>High</x:v>
      </x:c>
      <x:c r="H6" s="22" t="str">
        <x:v>Official</x:v>
      </x:c>
      <x:c r="I6" s="22" t="str">
        <x:v>Good</x:v>
      </x:c>
      <x:c r="J6" s="22" t="str">
        <x:v>Support L-Need</x:v>
      </x:c>
      <x:c r="K6" s="22" t="str">
        <x:v>Support article</x:v>
      </x:c>
      <x:c r="L6" s="22" t="str">
        <x:v>Yes</x:v>
      </x:c>
      <x:c r="M6" s="22" t="str">
        <x:v>P1</x:v>
      </x:c>
      <x:c r="N6" s="22" t="str">
        <x:v>Nêu tuổi/CCCD/chứng từ bổ sung có thể được yêu cầu.</x:v>
      </x:c>
      <x:c r="O6" s="22" t="str">
        <x:v>https://www.homecredit.vn/blog/cap-nhat-hop-dong-cho-vay-tien-mat</x:v>
      </x:c>
      <x:c r="P6" s="22" t="str">
        <x:v>Medium</x:v>
      </x:c>
      <x:c r="Q6" s="22" t="str">
        <x:v>Không hứa chỉ cần 1 giấy tờ cho mọi hạn mức.</x:v>
      </x:c>
    </x:row>
    <x:row r="7">
      <x:c r="A7" s="22" t="str">
        <x:v>L03</x:v>
      </x:c>
      <x:c r="B7" s="22" t="str">
        <x:v>Cash Loan</x:v>
      </x:c>
      <x:c r="C7" s="22" t="str">
        <x:v>vay Home Credit</x:v>
      </x:c>
      <x:c r="D7" s="22" t="str">
        <x:v>Bao nhiêu tuổi được vay tiền mặt Home Credit?</x:v>
      </x:c>
      <x:c r="E7" s="22" t="str">
        <x:v>Pre-action</x:v>
      </x:c>
      <x:c r="F7" s="22" t="str">
        <x:v>Eligibility age</x:v>
      </x:c>
      <x:c r="G7" s="22" t="str">
        <x:v>High</x:v>
      </x:c>
      <x:c r="H7" s="22" t="str">
        <x:v>Official</x:v>
      </x:c>
      <x:c r="I7" s="22" t="str">
        <x:v>Good</x:v>
      </x:c>
      <x:c r="J7" s="22" t="str">
        <x:v>Support L-Age</x:v>
      </x:c>
      <x:c r="K7" s="22" t="str">
        <x:v>Support article / section</x:v>
      </x:c>
      <x:c r="L7" s="22" t="str">
        <x:v>Conditional</x:v>
      </x:c>
      <x:c r="M7" s="22" t="str">
        <x:v>P1</x:v>
      </x:c>
      <x:c r="N7" s="22" t="str">
        <x:v>Home Credit công bố cash loan dành cho nhóm tuổi sản phẩm hiện hành; kiểm lại trước publish.</x:v>
      </x:c>
      <x:c r="O7" s="22" t="str">
        <x:v>https://www.homecredit.vn/blog/do-tuoi-duoc-vay-tien-clx</x:v>
      </x:c>
      <x:c r="P7" s="22" t="str">
        <x:v>Medium</x:v>
      </x:c>
      <x:c r="Q7" s="22" t="str">
        <x:v>Age is YMYL.</x:v>
      </x:c>
    </x:row>
    <x:row r="8">
      <x:c r="A8" s="22" t="str">
        <x:v>L04</x:v>
      </x:c>
      <x:c r="B8" s="22" t="str">
        <x:v>Cash Loan</x:v>
      </x:c>
      <x:c r="C8" s="22" t="str">
        <x:v>lãi suất Home Credit</x:v>
      </x:c>
      <x:c r="D8" s="22" t="str">
        <x:v>Lãi suất vay tiền mặt Home Credit tính thế nào?</x:v>
      </x:c>
      <x:c r="E8" s="22" t="str">
        <x:v>Pre-action</x:v>
      </x:c>
      <x:c r="F8" s="22" t="str">
        <x:v>Cost</x:v>
      </x:c>
      <x:c r="G8" s="22" t="str">
        <x:v>Very High</x:v>
      </x:c>
      <x:c r="H8" s="22" t="str">
        <x:v>Official</x:v>
      </x:c>
      <x:c r="I8" s="22" t="str">
        <x:v>Good</x:v>
      </x:c>
      <x:c r="J8" s="22" t="str">
        <x:v>Support L-Rate</x:v>
      </x:c>
      <x:c r="K8" s="22" t="str">
        <x:v>Support article</x:v>
      </x:c>
      <x:c r="L8" s="22" t="str">
        <x:v>Yes</x:v>
      </x:c>
      <x:c r="M8" s="22" t="str">
        <x:v>P0</x:v>
      </x:c>
      <x:c r="N8" s="22" t="str">
        <x:v>Phân biệt lãi suất phẳng và dư nợ giảm dần, tổng số tiền phải trả.</x:v>
      </x:c>
      <x:c r="O8" s="22" t="str">
        <x:v>https://www.homecredit.vn/faq/vay-tien-mat</x:v>
      </x:c>
      <x:c r="P8" s="22" t="str">
        <x:v>Very High</x:v>
      </x:c>
      <x:c r="Q8" s="22" t="str">
        <x:v>Không tự quy đổi nếu không ghi công thức/nguồn.</x:v>
      </x:c>
    </x:row>
    <x:row r="9">
      <x:c r="A9" s="22" t="str">
        <x:v>L05</x:v>
      </x:c>
      <x:c r="B9" s="22" t="str">
        <x:v>Cash Loan</x:v>
      </x:c>
      <x:c r="C9" s="22" t="str">
        <x:v>vay Home Credit</x:v>
      </x:c>
      <x:c r="D9" s="22" t="str">
        <x:v>Hạn mức và kỳ hạn vay Home Credit</x:v>
      </x:c>
      <x:c r="E9" s="22" t="str">
        <x:v>Pre-action</x:v>
      </x:c>
      <x:c r="F9" s="22" t="str">
        <x:v>Limit/term</x:v>
      </x:c>
      <x:c r="G9" s="22" t="str">
        <x:v>High</x:v>
      </x:c>
      <x:c r="H9" s="22" t="str">
        <x:v>Official</x:v>
      </x:c>
      <x:c r="I9" s="22" t="str">
        <x:v>Good</x:v>
      </x:c>
      <x:c r="J9" s="22" t="str">
        <x:v>Pillar L / L-Rate</x:v>
      </x:c>
      <x:c r="K9" s="22" t="str">
        <x:v>Section / table</x:v>
      </x:c>
      <x:c r="L9" s="22" t="str">
        <x:v>No</x:v>
      </x:c>
      <x:c r="M9" s="22" t="str">
        <x:v>P1</x:v>
      </x:c>
      <x:c r="N9" s="22" t="str">
        <x:v>Nêu khoảng công bố và việc hạn mức thực tế do thẩm định.</x:v>
      </x:c>
      <x:c r="O9" s="22" t="str">
        <x:v>https://dangky.homecredit.vn/vay-tien</x:v>
      </x:c>
      <x:c r="P9" s="22" t="str">
        <x:v>High</x:v>
      </x:c>
      <x:c r="Q9" s="22" t="str">
        <x:v>Dynamic product terms.</x:v>
      </x:c>
    </x:row>
    <x:row r="10">
      <x:c r="A10" s="22" t="str">
        <x:v>L06</x:v>
      </x:c>
      <x:c r="B10" s="22" t="str">
        <x:v>Cash Loan</x:v>
      </x:c>
      <x:c r="C10" s="22" t="str">
        <x:v>vay Home Credit online</x:v>
      </x:c>
      <x:c r="D10" s="22" t="str">
        <x:v>Home Credit duyệt hồ sơ bao lâu? Giải ngân bao lâu?</x:v>
      </x:c>
      <x:c r="E10" s="22" t="str">
        <x:v>During-action</x:v>
      </x:c>
      <x:c r="F10" s="22" t="str">
        <x:v>Timing</x:v>
      </x:c>
      <x:c r="G10" s="22" t="str">
        <x:v>High</x:v>
      </x:c>
      <x:c r="H10" s="22" t="str">
        <x:v>Official</x:v>
      </x:c>
      <x:c r="I10" s="22" t="str">
        <x:v>Good</x:v>
      </x:c>
      <x:c r="J10" s="22" t="str">
        <x:v>Support L-Time</x:v>
      </x:c>
      <x:c r="K10" s="22" t="str">
        <x:v>Support article / FAQ</x:v>
      </x:c>
      <x:c r="L10" s="22" t="str">
        <x:v>Conditional</x:v>
      </x:c>
      <x:c r="M10" s="22" t="str">
        <x:v>P1</x:v>
      </x:c>
      <x:c r="N10" s="22" t="str">
        <x:v>Dùng wording 'công bố/ước tính', không cam kết thời gian cho mọi hồ sơ.</x:v>
      </x:c>
      <x:c r="O10" s="22" t="str">
        <x:v>https://dangky.homecredit.vn/vay-tien</x:v>
      </x:c>
      <x:c r="P10" s="22" t="str">
        <x:v>High</x:v>
      </x:c>
      <x:c r="Q10" s="22" t="str">
        <x:v>Fast-conversion query.</x:v>
      </x:c>
    </x:row>
    <x:row r="11">
      <x:c r="A11" s="22" t="str">
        <x:v>L07</x:v>
      </x:c>
      <x:c r="B11" s="22" t="str">
        <x:v>Cash Loan</x:v>
      </x:c>
      <x:c r="C11" s="22" t="str">
        <x:v>vay Home Credit</x:v>
      </x:c>
      <x:c r="D11" s="22" t="str">
        <x:v>Hồ sơ vay Home Credit bị từ chối vì sao?</x:v>
      </x:c>
      <x:c r="E11" s="22" t="str">
        <x:v>During-action</x:v>
      </x:c>
      <x:c r="F11" s="22" t="str">
        <x:v>Troubleshooting</x:v>
      </x:c>
      <x:c r="G11" s="22" t="str">
        <x:v>High</x:v>
      </x:c>
      <x:c r="H11" s="22" t="str">
        <x:v>Official</x:v>
      </x:c>
      <x:c r="I11" s="22" t="str">
        <x:v>Good</x:v>
      </x:c>
      <x:c r="J11" s="22" t="str">
        <x:v>Support L-Reject</x:v>
      </x:c>
      <x:c r="K11" s="22" t="str">
        <x:v>Support article</x:v>
      </x:c>
      <x:c r="L11" s="22" t="str">
        <x:v>Yes</x:v>
      </x:c>
      <x:c r="M11" s="22" t="str">
        <x:v>P0</x:v>
      </x:c>
      <x:c r="N11" s="22" t="str">
        <x:v>Nêu thẩm định tự động và các yếu tố; không dạy lách hệ thống.</x:v>
      </x:c>
      <x:c r="O11" s="22" t="str">
        <x:v>https://www.homecredit.vn/faq/hop-dong-vay</x:v>
      </x:c>
      <x:c r="P11" s="22" t="str">
        <x:v>Medium</x:v>
      </x:c>
      <x:c r="Q11" s="22" t="str">
        <x:v>Good problem intent.</x:v>
      </x:c>
    </x:row>
    <x:row r="12">
      <x:c r="A12" s="22" t="str">
        <x:v>L08</x:v>
      </x:c>
      <x:c r="B12" s="22" t="str">
        <x:v>Cash Loan</x:v>
      </x:c>
      <x:c r="C12" s="22" t="str">
        <x:v>vay Home Credit</x:v>
      </x:c>
      <x:c r="D12" s="22" t="str">
        <x:v>Bị từ chối thì bao lâu được đăng ký lại?</x:v>
      </x:c>
      <x:c r="E12" s="22" t="str">
        <x:v>Post-decision</x:v>
      </x:c>
      <x:c r="F12" s="22" t="str">
        <x:v>Troubleshooting</x:v>
      </x:c>
      <x:c r="G12" s="22" t="str">
        <x:v>High</x:v>
      </x:c>
      <x:c r="H12" s="22" t="str">
        <x:v>Official but messaging varies</x:v>
      </x:c>
      <x:c r="I12" s="22" t="str">
        <x:v>Medium</x:v>
      </x:c>
      <x:c r="J12" s="22" t="str">
        <x:v>Support L-Reject</x:v>
      </x:c>
      <x:c r="K12" s="22" t="str">
        <x:v>Section</x:v>
      </x:c>
      <x:c r="L12" s="22" t="str">
        <x:v>No</x:v>
      </x:c>
      <x:c r="M12" s="22" t="str">
        <x:v>P1</x:v>
      </x:c>
      <x:c r="N12" s="22" t="str">
        <x:v>Không hứa mốc cứng nếu nguồn Home Credit khác nhau; ưu tiên thông báo/app/support hiện hành.</x:v>
      </x:c>
      <x:c r="O12" s="22" t="str">
        <x:v>https://www.homecredit.vn/faq/quy-trinh-tham-dinh</x:v>
      </x:c>
      <x:c r="P12" s="22" t="str">
        <x:v>High</x:v>
      </x:c>
      <x:c r="Q12" s="22" t="str">
        <x:v>Use cautious wording.</x:v>
      </x:c>
    </x:row>
    <x:row r="13">
      <x:c r="A13" s="22" t="str">
        <x:v>L09</x:v>
      </x:c>
      <x:c r="B13" s="22" t="str">
        <x:v>Cash Loan</x:v>
      </x:c>
      <x:c r="C13" s="22" t="str">
        <x:v>vay Home Credit</x:v>
      </x:c>
      <x:c r="D13" s="22" t="str">
        <x:v>Vay Home Credit có cần chứng minh thu nhập không?</x:v>
      </x:c>
      <x:c r="E13" s="22" t="str">
        <x:v>Pre-action</x:v>
      </x:c>
      <x:c r="F13" s="22" t="str">
        <x:v>Eligibility</x:v>
      </x:c>
      <x:c r="G13" s="22" t="str">
        <x:v>High</x:v>
      </x:c>
      <x:c r="H13" s="22" t="str">
        <x:v>Official</x:v>
      </x:c>
      <x:c r="I13" s="22" t="str">
        <x:v>Good</x:v>
      </x:c>
      <x:c r="J13" s="22" t="str">
        <x:v>Support L-Need</x:v>
      </x:c>
      <x:c r="K13" s="22" t="str">
        <x:v>Section / article</x:v>
      </x:c>
      <x:c r="L13" s="22" t="str">
        <x:v>Conditional</x:v>
      </x:c>
      <x:c r="M13" s="22" t="str">
        <x:v>P1</x:v>
      </x:c>
      <x:c r="N13" s="22" t="str">
        <x:v>Phân biệt đăng ký cơ bản và chứng từ bổ sung cho hạn mức cao/thẩm định.</x:v>
      </x:c>
      <x:c r="O13" s="22" t="str">
        <x:v>https://www.homecredit.vn/blog/cap-nhat-hop-dong-cho-vay-tien-mat</x:v>
      </x:c>
      <x:c r="P13" s="22" t="str">
        <x:v>Medium</x:v>
      </x:c>
      <x:c r="Q13" s="22" t="str">
        <x:v>Strong FAQ.</x:v>
      </x:c>
    </x:row>
    <x:row r="14">
      <x:c r="A14" s="22" t="str">
        <x:v>L10</x:v>
      </x:c>
      <x:c r="B14" s="22" t="str">
        <x:v>Cash Loan</x:v>
      </x:c>
      <x:c r="C14" s="22" t="str">
        <x:v>vay Home Credit</x:v>
      </x:c>
      <x:c r="D14" s="22" t="str">
        <x:v>Vay Home Credit có phí gì? Bảo hiểm có bắt buộc không?</x:v>
      </x:c>
      <x:c r="E14" s="22" t="str">
        <x:v>Pre-action</x:v>
      </x:c>
      <x:c r="F14" s="22" t="str">
        <x:v>Cost</x:v>
      </x:c>
      <x:c r="G14" s="22" t="str">
        <x:v>Very High</x:v>
      </x:c>
      <x:c r="H14" s="22" t="str">
        <x:v>Official</x:v>
      </x:c>
      <x:c r="I14" s="22" t="str">
        <x:v>Medium-Good</x:v>
      </x:c>
      <x:c r="J14" s="22" t="str">
        <x:v>Support L-Cost</x:v>
      </x:c>
      <x:c r="K14" s="22" t="str">
        <x:v>Support article</x:v>
      </x:c>
      <x:c r="L14" s="22" t="str">
        <x:v>Yes</x:v>
      </x:c>
      <x:c r="M14" s="22" t="str">
        <x:v>P0</x:v>
      </x:c>
      <x:c r="N14" s="22" t="str">
        <x:v>Tách lãi, phí chuyển tiền, tất toán trước hạn, bảo hiểm không bắt buộc nếu đúng nguồn hiện hành.</x:v>
      </x:c>
      <x:c r="O14" s="22" t="str">
        <x:v>https://dangky.homecredit.vn/vay-tien</x:v>
      </x:c>
      <x:c r="P14" s="22" t="str">
        <x:v>Very High</x:v>
      </x:c>
      <x:c r="Q14" s="22" t="str">
        <x:v>Cost transparency.</x:v>
      </x:c>
    </x:row>
    <x:row r="15">
      <x:c r="A15" s="22" t="str">
        <x:v>L11</x:v>
      </x:c>
      <x:c r="B15" s="22" t="str">
        <x:v>Cash Loan</x:v>
      </x:c>
      <x:c r="C15" s="22" t="str">
        <x:v>vay Home Credit</x:v>
      </x:c>
      <x:c r="D15" s="22" t="str">
        <x:v>Tất toán khoản vay Home Credit trước hạn có mất phí không?</x:v>
      </x:c>
      <x:c r="E15" s="22" t="str">
        <x:v>Post-action</x:v>
      </x:c>
      <x:c r="F15" s="22" t="str">
        <x:v>Servicing/cost</x:v>
      </x:c>
      <x:c r="G15" s="22" t="str">
        <x:v>Medium-High</x:v>
      </x:c>
      <x:c r="H15" s="22" t="str">
        <x:v>Official contract sources</x:v>
      </x:c>
      <x:c r="I15" s="22" t="str">
        <x:v>Medium</x:v>
      </x:c>
      <x:c r="J15" s="22" t="str">
        <x:v>Support L-Cost</x:v>
      </x:c>
      <x:c r="K15" s="22" t="str">
        <x:v>Support article / section</x:v>
      </x:c>
      <x:c r="L15" s="22" t="str">
        <x:v>Conditional</x:v>
      </x:c>
      <x:c r="M15" s="22" t="str">
        <x:v>P1</x:v>
      </x:c>
      <x:c r="N15" s="22" t="str">
        <x:v>Giải thích phải xem hợp đồng/biểu phí của khoản vay cụ thể.</x:v>
      </x:c>
      <x:c r="O15" s="22" t="str">
        <x:v>https://www.homecredit.vn/tra-cuu-mau-hop-dong</x:v>
      </x:c>
      <x:c r="P15" s="22" t="str">
        <x:v>Very High</x:v>
      </x:c>
      <x:c r="Q15" s="22" t="str">
        <x:v>Contract-specific.</x:v>
      </x:c>
    </x:row>
    <x:row r="16">
      <x:c r="A16" s="22" t="str">
        <x:v>L12</x:v>
      </x:c>
      <x:c r="B16" s="22" t="str">
        <x:v>Cash Loan</x:v>
      </x:c>
      <x:c r="C16" s="22" t="str">
        <x:v>vay Home Credit</x:v>
      </x:c>
      <x:c r="D16" s="22" t="str">
        <x:v>Thanh toán khoản vay Home Credit bằng cách nào?</x:v>
      </x:c>
      <x:c r="E16" s="22" t="str">
        <x:v>Post-action</x:v>
      </x:c>
      <x:c r="F16" s="22" t="str">
        <x:v>Servicing</x:v>
      </x:c>
      <x:c r="G16" s="22" t="str">
        <x:v>Medium</x:v>
      </x:c>
      <x:c r="H16" s="22" t="str">
        <x:v>Official</x:v>
      </x:c>
      <x:c r="I16" s="22" t="str">
        <x:v>Good</x:v>
      </x:c>
      <x:c r="J16" s="22" t="str">
        <x:v>Support L-Payment</x:v>
      </x:c>
      <x:c r="K16" s="22" t="str">
        <x:v>Support article</x:v>
      </x:c>
      <x:c r="L16" s="22" t="str">
        <x:v>Yes</x:v>
      </x:c>
      <x:c r="M16" s="22" t="str">
        <x:v>P1</x:v>
      </x:c>
      <x:c r="N16" s="22" t="str">
        <x:v>Các kênh thanh toán và kiểm tra trạng thái trên app.</x:v>
      </x:c>
      <x:c r="O16" s="22" t="str">
        <x:v>https://www.homecredit.vn/faq/ung-dung-home-credit</x:v>
      </x:c>
      <x:c r="P16" s="22" t="str">
        <x:v>Medium</x:v>
      </x:c>
      <x:c r="Q16" s="22" t="str">
        <x:v>Utility content.</x:v>
      </x:c>
    </x:row>
    <x:row r="17">
      <x:c r="A17" s="22" t="str">
        <x:v>L13</x:v>
      </x:c>
      <x:c r="B17" s="22" t="str">
        <x:v>Cash Loan</x:v>
      </x:c>
      <x:c r="C17" s="22" t="str">
        <x:v>vay Home Credit</x:v>
      </x:c>
      <x:c r="D17" s="22" t="str">
        <x:v>Trễ hạn thanh toán Home Credit phải làm sao?</x:v>
      </x:c>
      <x:c r="E17" s="22" t="str">
        <x:v>Post-action</x:v>
      </x:c>
      <x:c r="F17" s="22" t="str">
        <x:v>Troubleshooting</x:v>
      </x:c>
      <x:c r="G17" s="22" t="str">
        <x:v>Medium</x:v>
      </x:c>
      <x:c r="H17" s="22" t="str">
        <x:v>Official</x:v>
      </x:c>
      <x:c r="I17" s="22" t="str">
        <x:v>Good</x:v>
      </x:c>
      <x:c r="J17" s="22" t="str">
        <x:v>Support L-Payment</x:v>
      </x:c>
      <x:c r="K17" s="22" t="str">
        <x:v>Support article</x:v>
      </x:c>
      <x:c r="L17" s="22" t="str">
        <x:v>Conditional</x:v>
      </x:c>
      <x:c r="M17" s="22" t="str">
        <x:v>P1</x:v>
      </x:c>
      <x:c r="N17" s="22" t="str">
        <x:v>Khuyến khích kiểm số tiền đến hạn và liên hệ Home Credit; không đưa mẹo né nghĩa vụ.</x:v>
      </x:c>
      <x:c r="O17" s="22" t="str">
        <x:v>https://www.homecredit.vn/blog/ly-do-tre-han-thanh-toan-khoan-vay-clx</x:v>
      </x:c>
      <x:c r="P17" s="22" t="str">
        <x:v>High</x:v>
      </x:c>
      <x:c r="Q17" s="22" t="str">
        <x:v>YMYL.</x:v>
      </x:c>
    </x:row>
    <x:row r="18">
      <x:c r="A18" s="22" t="str">
        <x:v>L14</x:v>
      </x:c>
      <x:c r="B18" s="22" t="str">
        <x:v>Cash Loan</x:v>
      </x:c>
      <x:c r="C18" s="22" t="str">
        <x:v>vay Home Credit</x:v>
      </x:c>
      <x:c r="D18" s="22" t="str">
        <x:v>Đang có khoản vay Home Credit có vay thêm được không?</x:v>
      </x:c>
      <x:c r="E18" s="22" t="str">
        <x:v>Post-action</x:v>
      </x:c>
      <x:c r="F18" s="22" t="str">
        <x:v>Eligibility repeat</x:v>
      </x:c>
      <x:c r="G18" s="22" t="str">
        <x:v>Medium</x:v>
      </x:c>
      <x:c r="H18" s="22" t="str">
        <x:v>Official</x:v>
      </x:c>
      <x:c r="I18" s="22" t="str">
        <x:v>Good</x:v>
      </x:c>
      <x:c r="J18" s="22" t="str">
        <x:v>Support L-Repeat</x:v>
      </x:c>
      <x:c r="K18" s="22" t="str">
        <x:v>Support article / FAQ</x:v>
      </x:c>
      <x:c r="L18" s="22" t="str">
        <x:v>Conditional</x:v>
      </x:c>
      <x:c r="M18" s="22" t="str">
        <x:v>P1</x:v>
      </x:c>
      <x:c r="N18" s="22" t="str">
        <x:v>Nêu lựa chọn phụ thuộc lịch sử thanh toán và offer/đánh giá hiện hành.</x:v>
      </x:c>
      <x:c r="O18" s="22" t="str">
        <x:v>https://www.homecredit.vn/faq/hop-dong-vay</x:v>
      </x:c>
      <x:c r="P18" s="22" t="str">
        <x:v>Medium</x:v>
      </x:c>
      <x:c r="Q18" s="22" t="str">
        <x:v>Good long-tail.</x:v>
      </x:c>
    </x:row>
    <x:row r="19">
      <x:c r="A19" s="22" t="str">
        <x:v>L15</x:v>
      </x:c>
      <x:c r="B19" s="22" t="str">
        <x:v>Cash Loan</x:v>
      </x:c>
      <x:c r="C19" s="22" t="str">
        <x:v>vay Home Credit</x:v>
      </x:c>
      <x:c r="D19" s="22" t="str">
        <x:v>Link/app vay Home Credit nào là chính thức?</x:v>
      </x:c>
      <x:c r="E19" s="22" t="str">
        <x:v>Pre-action</x:v>
      </x:c>
      <x:c r="F19" s="22" t="str">
        <x:v>Trust</x:v>
      </x:c>
      <x:c r="G19" s="22" t="str">
        <x:v>High</x:v>
      </x:c>
      <x:c r="H19" s="22" t="str">
        <x:v>Official</x:v>
      </x:c>
      <x:c r="I19" s="22" t="str">
        <x:v>Good</x:v>
      </x:c>
      <x:c r="J19" s="22" t="str">
        <x:v>Pillar L / Trust</x:v>
      </x:c>
      <x:c r="K19" s="22" t="str">
        <x:v>Section / support</x:v>
      </x:c>
      <x:c r="L19" s="22" t="str">
        <x:v>Conditional</x:v>
      </x:c>
      <x:c r="M19" s="22" t="str">
        <x:v>P1</x:v>
      </x:c>
      <x:c r="N19" s="22" t="str">
        <x:v>Phân biệt 1 Phút Đăng Ký là affiliate site và Home Credit là bên thẩm định/cấp vay.</x:v>
      </x:c>
      <x:c r="O19" s="22" t="str">
        <x:v>https://www.homecredit.vn/</x:v>
      </x:c>
      <x:c r="P19" s="22" t="str">
        <x:v>Low</x:v>
      </x:c>
      <x:c r="Q19" s="22" t="str">
        <x:v>Trust conversion.</x:v>
      </x:c>
    </x:row>
    <x:row r="20">
      <x:c r="A20" s="22" t="str">
        <x:v>C01</x:v>
      </x:c>
      <x:c r="B20" s="22" t="str">
        <x:v>Credit Card</x:v>
      </x:c>
      <x:c r="C20" s="22" t="str">
        <x:v>thẻ tín dụng Home Credit</x:v>
      </x:c>
      <x:c r="D20" s="22" t="str">
        <x:v>Mở thẻ tín dụng Home Credit online</x:v>
      </x:c>
      <x:c r="E20" s="22" t="str">
        <x:v>Acquisition</x:v>
      </x:c>
      <x:c r="F20" s="22" t="str">
        <x:v>Transactional</x:v>
      </x:c>
      <x:c r="G20" s="22" t="str">
        <x:v>Very High</x:v>
      </x:c>
      <x:c r="H20" s="22" t="str">
        <x:v>Official</x:v>
      </x:c>
      <x:c r="I20" s="22" t="str">
        <x:v>Good</x:v>
      </x:c>
      <x:c r="J20" s="22" t="str">
        <x:v>Pillar C</x:v>
      </x:c>
      <x:c r="K20" s="22" t="str">
        <x:v>New pillar</x:v>
      </x:c>
      <x:c r="L20" s="22" t="str">
        <x:v>Yes</x:v>
      </x:c>
      <x:c r="M20" s="22" t="str">
        <x:v>P0</x:v>
      </x:c>
      <x:c r="N20" s="22" t="str">
        <x:v>Điều kiện, hạn mức, phí/lãi, đăng ký, lifecycle.</x:v>
      </x:c>
      <x:c r="O20" s="22" t="str">
        <x:v>https://www.homecredit.vn/the-tin-dung-online</x:v>
      </x:c>
      <x:c r="P20" s="22" t="str">
        <x:v>Very High</x:v>
      </x:c>
      <x:c r="Q20" s="22" t="str">
        <x:v>Second money page.</x:v>
      </x:c>
    </x:row>
    <x:row r="21">
      <x:c r="A21" s="22" t="str">
        <x:v>C02</x:v>
      </x:c>
      <x:c r="B21" s="22" t="str">
        <x:v>Credit Card</x:v>
      </x:c>
      <x:c r="C21" s="22" t="str">
        <x:v>mở thẻ Home Credit</x:v>
      </x:c>
      <x:c r="D21" s="22" t="str">
        <x:v>Điều kiện mở thẻ tín dụng Home Credit</x:v>
      </x:c>
      <x:c r="E21" s="22" t="str">
        <x:v>Pre-action</x:v>
      </x:c>
      <x:c r="F21" s="22" t="str">
        <x:v>Eligibility</x:v>
      </x:c>
      <x:c r="G21" s="22" t="str">
        <x:v>High</x:v>
      </x:c>
      <x:c r="H21" s="22" t="str">
        <x:v>Official</x:v>
      </x:c>
      <x:c r="I21" s="22" t="str">
        <x:v>Good</x:v>
      </x:c>
      <x:c r="J21" s="22" t="str">
        <x:v>Support C-Need</x:v>
      </x:c>
      <x:c r="K21" s="22" t="str">
        <x:v>Support article</x:v>
      </x:c>
      <x:c r="L21" s="22" t="str">
        <x:v>Yes</x:v>
      </x:c>
      <x:c r="M21" s="22" t="str">
        <x:v>P1</x:v>
      </x:c>
      <x:c r="N21" s="22" t="str">
        <x:v>Quốc tịch/cư trú, độ tuổi, CCCD, thẩm định; không hứa phê duyệt.</x:v>
      </x:c>
      <x:c r="O21" s="22" t="str">
        <x:v>https://www.homecredit.vn/the-tin-dung-online</x:v>
      </x:c>
      <x:c r="P21" s="22" t="str">
        <x:v>Medium</x:v>
      </x:c>
      <x:c r="Q21" s="22" t="str">
        <x:v>Strong pre-application.</x:v>
      </x:c>
    </x:row>
    <x:row r="22">
      <x:c r="A22" s="22" t="str">
        <x:v>C03</x:v>
      </x:c>
      <x:c r="B22" s="22" t="str">
        <x:v>Credit Card</x:v>
      </x:c>
      <x:c r="C22" s="22" t="str">
        <x:v>thẻ Home Credit</x:v>
      </x:c>
      <x:c r="D22" s="22" t="str">
        <x:v>Mở thẻ Home Credit có cần chứng minh thu nhập không?</x:v>
      </x:c>
      <x:c r="E22" s="22" t="str">
        <x:v>Pre-action</x:v>
      </x:c>
      <x:c r="F22" s="22" t="str">
        <x:v>Eligibility</x:v>
      </x:c>
      <x:c r="G22" s="22" t="str">
        <x:v>High</x:v>
      </x:c>
      <x:c r="H22" s="22" t="str">
        <x:v>Official</x:v>
      </x:c>
      <x:c r="I22" s="22" t="str">
        <x:v>Good</x:v>
      </x:c>
      <x:c r="J22" s="22" t="str">
        <x:v>Support C-Need</x:v>
      </x:c>
      <x:c r="K22" s="22" t="str">
        <x:v>Section / FAQ</x:v>
      </x:c>
      <x:c r="L22" s="22" t="str">
        <x:v>No</x:v>
      </x:c>
      <x:c r="M22" s="22" t="str">
        <x:v>P1</x:v>
      </x:c>
      <x:c r="N22" s="22" t="str">
        <x:v>Dùng thông tin sản phẩm hiện hành, vẫn nhấn mạnh Home Credit thẩm định.</x:v>
      </x:c>
      <x:c r="O22" s="22" t="str">
        <x:v>https://www.homecredit.vn/the-tin-dung-online</x:v>
      </x:c>
      <x:c r="P22" s="22" t="str">
        <x:v>Medium</x:v>
      </x:c>
      <x:c r="Q22" s="22" t="str">
        <x:v>Good FAQ.</x:v>
      </x:c>
    </x:row>
    <x:row r="23">
      <x:c r="A23" s="22" t="str">
        <x:v>C04</x:v>
      </x:c>
      <x:c r="B23" s="22" t="str">
        <x:v>Credit Card</x:v>
      </x:c>
      <x:c r="C23" s="22" t="str">
        <x:v>thẻ Home Credit</x:v>
      </x:c>
      <x:c r="D23" s="22" t="str">
        <x:v>Hạn mức thẻ tín dụng Home Credit bao nhiêu?</x:v>
      </x:c>
      <x:c r="E23" s="22" t="str">
        <x:v>Pre-action</x:v>
      </x:c>
      <x:c r="F23" s="22" t="str">
        <x:v>Limit</x:v>
      </x:c>
      <x:c r="G23" s="22" t="str">
        <x:v>High</x:v>
      </x:c>
      <x:c r="H23" s="22" t="str">
        <x:v>Official</x:v>
      </x:c>
      <x:c r="I23" s="22" t="str">
        <x:v>Good</x:v>
      </x:c>
      <x:c r="J23" s="22" t="str">
        <x:v>Pillar C / C-Need</x:v>
      </x:c>
      <x:c r="K23" s="22" t="str">
        <x:v>Section</x:v>
      </x:c>
      <x:c r="L23" s="22" t="str">
        <x:v>No</x:v>
      </x:c>
      <x:c r="M23" s="22" t="str">
        <x:v>P1</x:v>
      </x:c>
      <x:c r="N23" s="22" t="str">
        <x:v>Nêu range công bố và hạn mức thực tế do thẩm định.</x:v>
      </x:c>
      <x:c r="O23" s="22" t="str">
        <x:v>https://www.homecredit.vn/faq/the-tin-dung</x:v>
      </x:c>
      <x:c r="P23" s="22" t="str">
        <x:v>Medium</x:v>
      </x:c>
      <x:c r="Q23" s="22" t="str">
        <x:v>Dynamic per customer.</x:v>
      </x:c>
    </x:row>
    <x:row r="24">
      <x:c r="A24" s="22" t="str">
        <x:v>C05</x:v>
      </x:c>
      <x:c r="B24" s="22" t="str">
        <x:v>Credit Card</x:v>
      </x:c>
      <x:c r="C24" s="22" t="str">
        <x:v>phí/lãi thẻ Home Credit</x:v>
      </x:c>
      <x:c r="D24" s="22" t="str">
        <x:v>Phí và lãi suất thẻ tín dụng Home Credit</x:v>
      </x:c>
      <x:c r="E24" s="22" t="str">
        <x:v>Pre-action</x:v>
      </x:c>
      <x:c r="F24" s="22" t="str">
        <x:v>Cost</x:v>
      </x:c>
      <x:c r="G24" s="22" t="str">
        <x:v>Very High</x:v>
      </x:c>
      <x:c r="H24" s="22" t="str">
        <x:v>Official</x:v>
      </x:c>
      <x:c r="I24" s="22" t="str">
        <x:v>Good if latest tariff checked</x:v>
      </x:c>
      <x:c r="J24" s="22" t="str">
        <x:v>Support C-Cost</x:v>
      </x:c>
      <x:c r="K24" s="22" t="str">
        <x:v>Support article</x:v>
      </x:c>
      <x:c r="L24" s="22" t="str">
        <x:v>Yes</x:v>
      </x:c>
      <x:c r="M24" s="22" t="str">
        <x:v>P0</x:v>
      </x:c>
      <x:c r="N24" s="22" t="str">
        <x:v>Luôn lấy biểu phí mới nhất từ trang tra cứu hợp đồng trước publish.</x:v>
      </x:c>
      <x:c r="O24" s="22" t="str">
        <x:v>https://www.homecredit.vn/tra-cuu-mau-hop-dong</x:v>
      </x:c>
      <x:c r="P24" s="22" t="str">
        <x:v>Very High</x:v>
      </x:c>
      <x:c r="Q24" s="22" t="str">
        <x:v>Latest tariff effective 04/09/2026 is listed.</x:v>
      </x:c>
    </x:row>
    <x:row r="25">
      <x:c r="A25" s="22" t="str">
        <x:v>C06</x:v>
      </x:c>
      <x:c r="B25" s="22" t="str">
        <x:v>Credit Card</x:v>
      </x:c>
      <x:c r="C25" s="22" t="str">
        <x:v>thẻ Home Credit</x:v>
      </x:c>
      <x:c r="D25" s="22" t="str">
        <x:v>Thời gian miễn lãi và ngày đến hạn Home Credit</x:v>
      </x:c>
      <x:c r="E25" s="22" t="str">
        <x:v>Post-action</x:v>
      </x:c>
      <x:c r="F25" s="22" t="str">
        <x:v>Billing</x:v>
      </x:c>
      <x:c r="G25" s="22" t="str">
        <x:v>High</x:v>
      </x:c>
      <x:c r="H25" s="22" t="str">
        <x:v>Official</x:v>
      </x:c>
      <x:c r="I25" s="22" t="str">
        <x:v>Good</x:v>
      </x:c>
      <x:c r="J25" s="22" t="str">
        <x:v>Support C-Statement</x:v>
      </x:c>
      <x:c r="K25" s="22" t="str">
        <x:v>Support article</x:v>
      </x:c>
      <x:c r="L25" s="22" t="str">
        <x:v>Yes</x:v>
      </x:c>
      <x:c r="M25" s="22" t="str">
        <x:v>P1</x:v>
      </x:c>
      <x:c r="N25" s="22" t="str">
        <x:v>Giải thích sao kê, ngày đến hạn, miễn lãi có điều kiện thanh toán đầy đủ.</x:v>
      </x:c>
      <x:c r="O25" s="22" t="str">
        <x:v>https://www.homecredit.vn/faq/the-tin-dung</x:v>
      </x:c>
      <x:c r="P25" s="22" t="str">
        <x:v>Medium</x:v>
      </x:c>
      <x:c r="Q25" s="22" t="str">
        <x:v>Useful after approval.</x:v>
      </x:c>
    </x:row>
    <x:row r="26">
      <x:c r="A26" s="22" t="str">
        <x:v>C07</x:v>
      </x:c>
      <x:c r="B26" s="22" t="str">
        <x:v>Credit Card</x:v>
      </x:c>
      <x:c r="C26" s="22" t="str">
        <x:v>thẻ Home Credit</x:v>
      </x:c>
      <x:c r="D26" s="22" t="str">
        <x:v>Thanh toán tối thiểu thẻ Home Credit là bao nhiêu?</x:v>
      </x:c>
      <x:c r="E26" s="22" t="str">
        <x:v>Post-action</x:v>
      </x:c>
      <x:c r="F26" s="22" t="str">
        <x:v>Billing/cost</x:v>
      </x:c>
      <x:c r="G26" s="22" t="str">
        <x:v>High</x:v>
      </x:c>
      <x:c r="H26" s="22" t="str">
        <x:v>Official</x:v>
      </x:c>
      <x:c r="I26" s="22" t="str">
        <x:v>Good</x:v>
      </x:c>
      <x:c r="J26" s="22" t="str">
        <x:v>Support C-Statement</x:v>
      </x:c>
      <x:c r="K26" s="22" t="str">
        <x:v>Support article / section</x:v>
      </x:c>
      <x:c r="L26" s="22" t="str">
        <x:v>Conditional</x:v>
      </x:c>
      <x:c r="M26" s="22" t="str">
        <x:v>P0</x:v>
      </x:c>
      <x:c r="N26" s="22" t="str">
        <x:v>Nêu công thức theo FAQ hiện hành và nhắc kiểm sao kê thực tế.</x:v>
      </x:c>
      <x:c r="O26" s="22" t="str">
        <x:v>https://www.homecredit.vn/faq/the-tin-dung</x:v>
      </x:c>
      <x:c r="P26" s="22" t="str">
        <x:v>High</x:v>
      </x:c>
      <x:c r="Q26" s="22" t="str">
        <x:v>Can change.</x:v>
      </x:c>
    </x:row>
    <x:row r="27">
      <x:c r="A27" s="22" t="str">
        <x:v>C08</x:v>
      </x:c>
      <x:c r="B27" s="22" t="str">
        <x:v>Credit Card</x:v>
      </x:c>
      <x:c r="C27" s="22" t="str">
        <x:v>thẻ Home Credit</x:v>
      </x:c>
      <x:c r="D27" s="22" t="str">
        <x:v>Cách xem sao kê và dư nợ thẻ Home Credit</x:v>
      </x:c>
      <x:c r="E27" s="22" t="str">
        <x:v>Post-action</x:v>
      </x:c>
      <x:c r="F27" s="22" t="str">
        <x:v>Servicing</x:v>
      </x:c>
      <x:c r="G27" s="22" t="str">
        <x:v>Medium</x:v>
      </x:c>
      <x:c r="H27" s="22" t="str">
        <x:v>Official</x:v>
      </x:c>
      <x:c r="I27" s="22" t="str">
        <x:v>Good</x:v>
      </x:c>
      <x:c r="J27" s="22" t="str">
        <x:v>Support C-Statement</x:v>
      </x:c>
      <x:c r="K27" s="22" t="str">
        <x:v>Support article</x:v>
      </x:c>
      <x:c r="L27" s="22" t="str">
        <x:v>Conditional</x:v>
      </x:c>
      <x:c r="M27" s="22" t="str">
        <x:v>P1</x:v>
      </x:c>
      <x:c r="N27" s="22" t="str">
        <x:v>App/hotline, các trường trên sao kê, ngày đến hạn.</x:v>
      </x:c>
      <x:c r="O27" s="22" t="str">
        <x:v>https://www.homecredit.vn/blog/huong-dan-kiem-tra-sao-ke-the-tin-dung</x:v>
      </x:c>
      <x:c r="P27" s="22" t="str">
        <x:v>Medium</x:v>
      </x:c>
      <x:c r="Q27" s="22" t="str">
        <x:v>Utility content.</x:v>
      </x:c>
    </x:row>
    <x:row r="28">
      <x:c r="A28" s="22" t="str">
        <x:v>C09</x:v>
      </x:c>
      <x:c r="B28" s="22" t="str">
        <x:v>Credit Card</x:v>
      </x:c>
      <x:c r="C28" s="22" t="str">
        <x:v>thẻ Home Credit</x:v>
      </x:c>
      <x:c r="D28" s="22" t="str">
        <x:v>Kích hoạt thẻ tín dụng Home Credit như thế nào?</x:v>
      </x:c>
      <x:c r="E28" s="22" t="str">
        <x:v>Post-approval</x:v>
      </x:c>
      <x:c r="F28" s="22" t="str">
        <x:v>Activation</x:v>
      </x:c>
      <x:c r="G28" s="22" t="str">
        <x:v>Medium-High</x:v>
      </x:c>
      <x:c r="H28" s="22" t="str">
        <x:v>Official</x:v>
      </x:c>
      <x:c r="I28" s="22" t="str">
        <x:v>Good</x:v>
      </x:c>
      <x:c r="J28" s="22" t="str">
        <x:v>Support C-Activate</x:v>
      </x:c>
      <x:c r="K28" s="22" t="str">
        <x:v>Support article</x:v>
      </x:c>
      <x:c r="L28" s="22" t="str">
        <x:v>Conditional</x:v>
      </x:c>
      <x:c r="M28" s="22" t="str">
        <x:v>P1</x:v>
      </x:c>
      <x:c r="N28" s="22" t="str">
        <x:v>Qua app/hotline theo hướng dẫn hiện hành.</x:v>
      </x:c>
      <x:c r="O28" s="22" t="str">
        <x:v>https://www.homecredit.vn/faq/the-tin-dung</x:v>
      </x:c>
      <x:c r="P28" s="22" t="str">
        <x:v>Medium</x:v>
      </x:c>
      <x:c r="Q28" s="22" t="str">
        <x:v>Post-approval support.</x:v>
      </x:c>
    </x:row>
    <x:row r="29">
      <x:c r="A29" s="22" t="str">
        <x:v>C10</x:v>
      </x:c>
      <x:c r="B29" s="22" t="str">
        <x:v>Credit Card</x:v>
      </x:c>
      <x:c r="C29" s="22" t="str">
        <x:v>rút tiền thẻ Home Credit</x:v>
      </x:c>
      <x:c r="D29" s="22" t="str">
        <x:v>Rút tiền mặt từ thẻ tín dụng Home Credit: phí và lưu ý</x:v>
      </x:c>
      <x:c r="E29" s="22" t="str">
        <x:v>Post-action</x:v>
      </x:c>
      <x:c r="F29" s="22" t="str">
        <x:v>Cash advance</x:v>
      </x:c>
      <x:c r="G29" s="22" t="str">
        <x:v>High</x:v>
      </x:c>
      <x:c r="H29" s="22" t="str">
        <x:v>Official</x:v>
      </x:c>
      <x:c r="I29" s="22" t="str">
        <x:v>Good if latest tariff checked</x:v>
      </x:c>
      <x:c r="J29" s="22" t="str">
        <x:v>Support C-Cash</x:v>
      </x:c>
      <x:c r="K29" s="22" t="str">
        <x:v>Support article</x:v>
      </x:c>
      <x:c r="L29" s="22" t="str">
        <x:v>Yes</x:v>
      </x:c>
      <x:c r="M29" s="22" t="str">
        <x:v>P0</x:v>
      </x:c>
      <x:c r="N29" s="22" t="str">
        <x:v>Tách phí rút tiền và lãi phát sinh; kiểm theo loại thẻ/biểu phí mới nhất.</x:v>
      </x:c>
      <x:c r="O29" s="22" t="str">
        <x:v>https://www.homecredit.vn/faq/the-tin-dung</x:v>
      </x:c>
      <x:c r="P29" s="22" t="str">
        <x:v>Very High</x:v>
      </x:c>
      <x:c r="Q29" s="22" t="str">
        <x:v>High cost topic.</x:v>
      </x:c>
    </x:row>
    <x:row r="30">
      <x:c r="A30" s="22" t="str">
        <x:v>C11</x:v>
      </x:c>
      <x:c r="B30" s="22" t="str">
        <x:v>Credit Card</x:v>
      </x:c>
      <x:c r="C30" s="22" t="str">
        <x:v>thẻ Home Credit</x:v>
      </x:c>
      <x:c r="D30" s="22" t="str">
        <x:v>Có thể tăng hạn mức thẻ Home Credit không?</x:v>
      </x:c>
      <x:c r="E30" s="22" t="str">
        <x:v>Post-action</x:v>
      </x:c>
      <x:c r="F30" s="22" t="str">
        <x:v>Limit management</x:v>
      </x:c>
      <x:c r="G30" s="22" t="str">
        <x:v>Medium</x:v>
      </x:c>
      <x:c r="H30" s="22" t="str">
        <x:v>Official</x:v>
      </x:c>
      <x:c r="I30" s="22" t="str">
        <x:v>Good</x:v>
      </x:c>
      <x:c r="J30" s="22" t="str">
        <x:v>Support C-Limit</x:v>
      </x:c>
      <x:c r="K30" s="22" t="str">
        <x:v>Section / FAQ</x:v>
      </x:c>
      <x:c r="L30" s="22" t="str">
        <x:v>No</x:v>
      </x:c>
      <x:c r="M30" s="22" t="str">
        <x:v>P1</x:v>
      </x:c>
      <x:c r="N30" s="22" t="str">
        <x:v>Home Credit FAQ nói hệ thống tự đánh giá; không hứa tăng hạn mức theo yêu cầu.</x:v>
      </x:c>
      <x:c r="O30" s="22" t="str">
        <x:v>https://www.homecredit.vn/faq/the-tin-dung</x:v>
      </x:c>
      <x:c r="P30" s="22" t="str">
        <x:v>Medium</x:v>
      </x:c>
      <x:c r="Q30" s="22" t="str">
        <x:v>Good FAQ.</x:v>
      </x:c>
    </x:row>
    <x:row r="31">
      <x:c r="A31" s="22" t="str">
        <x:v>C12</x:v>
      </x:c>
      <x:c r="B31" s="22" t="str">
        <x:v>Credit Card</x:v>
      </x:c>
      <x:c r="C31" s="22" t="str">
        <x:v>trả góp thẻ Home Credit</x:v>
      </x:c>
      <x:c r="D31" s="22" t="str">
        <x:v>Chuyển đổi trả góp thẻ tín dụng Home Credit</x:v>
      </x:c>
      <x:c r="E31" s="22" t="str">
        <x:v>Post-action</x:v>
      </x:c>
      <x:c r="F31" s="22" t="str">
        <x:v>Installment</x:v>
      </x:c>
      <x:c r="G31" s="22" t="str">
        <x:v>High</x:v>
      </x:c>
      <x:c r="H31" s="22" t="str">
        <x:v>Official</x:v>
      </x:c>
      <x:c r="I31" s="22" t="str">
        <x:v>Good if latest 2026 terms checked</x:v>
      </x:c>
      <x:c r="J31" s="22" t="str">
        <x:v>Support C-Installment</x:v>
      </x:c>
      <x:c r="K31" s="22" t="str">
        <x:v>Support article</x:v>
      </x:c>
      <x:c r="L31" s="22" t="str">
        <x:v>Yes</x:v>
      </x:c>
      <x:c r="M31" s="22" t="str">
        <x:v>P0</x:v>
      </x:c>
      <x:c r="N31" s="22" t="str">
        <x:v>Nguồn phải là điều khoản/biểu phí mới nhất, vì Home Credit đã điều chỉnh nhiều lần năm 2026.</x:v>
      </x:c>
      <x:c r="O31" s="22" t="str">
        <x:v>https://www.homecredit.vn/tra-cuu-mau-hop-dong</x:v>
      </x:c>
      <x:c r="P31" s="22" t="str">
        <x:v>Very High</x:v>
      </x:c>
      <x:c r="Q31" s="22" t="str">
        <x:v>Latest terms matter.</x:v>
      </x:c>
    </x:row>
    <x:row r="32">
      <x:c r="A32" s="22" t="str">
        <x:v>C13</x:v>
      </x:c>
      <x:c r="B32" s="22" t="str">
        <x:v>Credit Card</x:v>
      </x:c>
      <x:c r="C32" s="22" t="str">
        <x:v>thẻ Home Credit</x:v>
      </x:c>
      <x:c r="D32" s="22" t="str">
        <x:v>Thanh toán trễ thẻ Home Credit có sao không?</x:v>
      </x:c>
      <x:c r="E32" s="22" t="str">
        <x:v>Post-action</x:v>
      </x:c>
      <x:c r="F32" s="22" t="str">
        <x:v>Late payment</x:v>
      </x:c>
      <x:c r="G32" s="22" t="str">
        <x:v>High</x:v>
      </x:c>
      <x:c r="H32" s="22" t="str">
        <x:v>Official</x:v>
      </x:c>
      <x:c r="I32" s="22" t="str">
        <x:v>Good</x:v>
      </x:c>
      <x:c r="J32" s="22" t="str">
        <x:v>Support C-Statement</x:v>
      </x:c>
      <x:c r="K32" s="22" t="str">
        <x:v>Section / support</x:v>
      </x:c>
      <x:c r="L32" s="22" t="str">
        <x:v>Conditional</x:v>
      </x:c>
      <x:c r="M32" s="22" t="str">
        <x:v>P1</x:v>
      </x:c>
      <x:c r="N32" s="22" t="str">
        <x:v>Phí/lãi và lịch sử tín dụng; hướng người dùng kiểm sao kê và liên hệ Home Credit.</x:v>
      </x:c>
      <x:c r="O32" s="22" t="str">
        <x:v>https://www.homecredit.vn/faq/the-tin-dung</x:v>
      </x:c>
      <x:c r="P32" s="22" t="str">
        <x:v>High</x:v>
      </x:c>
      <x:c r="Q32" s="22" t="str">
        <x:v>YMYL.</x:v>
      </x:c>
    </x:row>
    <x:row r="33">
      <x:c r="A33" s="22" t="str">
        <x:v>C14</x:v>
      </x:c>
      <x:c r="B33" s="22" t="str">
        <x:v>Credit Card</x:v>
      </x:c>
      <x:c r="C33" s="22" t="str">
        <x:v>thẻ Home Credit</x:v>
      </x:c>
      <x:c r="D33" s="22" t="str">
        <x:v>Thẻ tín dụng trực tuyến và thẻ Home Credit khác nhau thế nào?</x:v>
      </x:c>
      <x:c r="E33" s="22" t="str">
        <x:v>Decision</x:v>
      </x:c>
      <x:c r="F33" s="22" t="str">
        <x:v>Product clarification</x:v>
      </x:c>
      <x:c r="G33" s="22" t="str">
        <x:v>Medium</x:v>
      </x:c>
      <x:c r="H33" s="22" t="str">
        <x:v>Official tariff/product pages</x:v>
      </x:c>
      <x:c r="I33" s="22" t="str">
        <x:v>Medium</x:v>
      </x:c>
      <x:c r="J33" s="22" t="str">
        <x:v>Pillar C</x:v>
      </x:c>
      <x:c r="K33" s="22" t="str">
        <x:v>Section / article</x:v>
      </x:c>
      <x:c r="L33" s="22" t="str">
        <x:v>Conditional</x:v>
      </x:c>
      <x:c r="M33" s="22" t="str">
        <x:v>P1</x:v>
      </x:c>
      <x:c r="N33" s="22" t="str">
        <x:v>Chỉ so sánh những điểm Home Credit công bố hiện hành.</x:v>
      </x:c>
      <x:c r="O33" s="22" t="str">
        <x:v>https://www.homecredit.vn/tra-cuu-mau-hop-dong</x:v>
      </x:c>
      <x:c r="P33" s="22" t="str">
        <x:v>High</x:v>
      </x:c>
      <x:c r="Q33" s="22" t="str">
        <x:v>Product variants.</x:v>
      </x:c>
    </x:row>
    <x:row r="34">
      <x:c r="A34" s="22" t="str">
        <x:v>B01</x:v>
      </x:c>
      <x:c r="B34" s="22" t="str">
        <x:v>Bridge</x:v>
      </x:c>
      <x:c r="C34" s="22" t="str">
        <x:v>loan vs card</x:v>
      </x:c>
      <x:c r="D34" s="22" t="str">
        <x:v>Vay tiền mặt hay thẻ tín dụng Home Credit khác nhau thế nào?</x:v>
      </x:c>
      <x:c r="E34" s="22" t="str">
        <x:v>Decision</x:v>
      </x:c>
      <x:c r="F34" s="22" t="str">
        <x:v>Clarification</x:v>
      </x:c>
      <x:c r="G34" s="22" t="str">
        <x:v>Medium-High</x:v>
      </x:c>
      <x:c r="H34" s="22" t="str">
        <x:v>Official</x:v>
      </x:c>
      <x:c r="I34" s="22" t="str">
        <x:v>Good</x:v>
      </x:c>
      <x:c r="J34" s="22" t="str">
        <x:v>Bridge L↔C</x:v>
      </x:c>
      <x:c r="K34" s="22" t="str">
        <x:v>Bridge article</x:v>
      </x:c>
      <x:c r="L34" s="22" t="str">
        <x:v>Yes</x:v>
      </x:c>
      <x:c r="M34" s="22" t="str">
        <x:v>P1</x:v>
      </x:c>
      <x:c r="N34" s="22" t="str">
        <x:v>So sánh mục đích sử dụng, cơ chế chi phí, nghĩa vụ thanh toán; không khuyến nghị cá nhân hóa.</x:v>
      </x:c>
      <x:c r="O34" s="22" t="str">
        <x:v>https://www.homecredit.vn/</x:v>
      </x:c>
      <x:c r="P34" s="22" t="str">
        <x:v>High</x:v>
      </x:c>
      <x:c r="Q34" s="22" t="str">
        <x:v>Strong entity-routing page.</x:v>
      </x:c>
    </x:row>
  </x:sheetData>
  <x:mergeCells>
    <x:mergeCell ref="A1:Q1"/>
    <x:mergeCell ref="A2:Q2"/>
  </x:mergeCells>
  <x:conditionalFormatting sqref="M5:M34">
    <x:cfRule type="expression" dxfId="0" priority="1">
      <x:formula>M5="P0"</x:formula>
    </x:cfRule>
    <x:cfRule type="expression" dxfId="1" priority="2">
      <x:formula>M5="P1"</x:formula>
    </x:cfRule>
  </x:conditionalFormatting>
  <x:pageMargins left="0.7" right="0.7" top="0.75" bottom="0.75" header="0.3" footer="0.3"/>
  <x:tableParts count="1">
    <x:tablePart xmlns:r="http://schemas.openxmlformats.org/officeDocument/2006/relationships" r:id="R395b48118f6849eb"/>
  </x:tableParts>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4" hidden="0" customWidth="1"/>
    <x:col min="3" max="3" width="48" hidden="0" customWidth="1"/>
    <x:col min="4" max="4" width="16" hidden="0" customWidth="1"/>
    <x:col min="5" max="5" width="18" hidden="0" customWidth="1"/>
    <x:col min="6" max="6" width="24" hidden="0" customWidth="1"/>
    <x:col min="7" max="7" width="28" hidden="0" customWidth="1"/>
    <x:col min="8" max="8" width="24" hidden="0" customWidth="1"/>
    <x:col min="9" max="9" width="18" hidden="0" customWidth="1"/>
    <x:col min="10" max="10" width="10" hidden="0" customWidth="1"/>
    <x:col min="11" max="11" width="12" hidden="0" customWidth="1"/>
    <x:col min="12" max="12" width="20" hidden="0" customWidth="1"/>
    <x:col min="13" max="13" width="48" hidden="0" customWidth="1"/>
  </x:cols>
  <x:sheetData>
    <x:row r="1">
      <x:c r="A1" s="28" t="str">
        <x:v>HOME CREDIT – CONTENT PORTFOLIO</x:v>
      </x:c>
      <x:c r="B1" s="28"/>
      <x:c r="C1" s="28"/>
      <x:c r="D1" s="28"/>
      <x:c r="E1" s="28"/>
      <x:c r="F1" s="28"/>
      <x:c r="G1" s="28"/>
      <x:c r="H1" s="28"/>
      <x:c r="I1" s="28"/>
      <x:c r="J1" s="28"/>
      <x:c r="K1" s="28"/>
      <x:c r="L1" s="28"/>
      <x:c r="M1" s="28"/>
    </x:row>
    <x:row r="3">
      <x:c r="A3" s="20" t="str">
        <x:v>Order</x:v>
      </x:c>
      <x:c r="B3" s="20" t="str">
        <x:v>Asset ID</x:v>
      </x:c>
      <x:c r="C3" s="20" t="str">
        <x:v>Content asset</x:v>
      </x:c>
      <x:c r="D3" s="20" t="str">
        <x:v>Product</x:v>
      </x:c>
      <x:c r="E3" s="20" t="str">
        <x:v>Type</x:v>
      </x:c>
      <x:c r="F3" s="20" t="str">
        <x:v>Canonical owner</x:v>
      </x:c>
      <x:c r="G3" s="20" t="str">
        <x:v>Business role</x:v>
      </x:c>
      <x:c r="H3" s="20" t="str">
        <x:v>Primary intent</x:v>
      </x:c>
      <x:c r="I3" s="20" t="str">
        <x:v>Affiliate CTA</x:v>
      </x:c>
      <x:c r="J3" s="20" t="str">
        <x:v>Priority</x:v>
      </x:c>
      <x:c r="K3" s="20" t="str">
        <x:v>Target day</x:v>
      </x:c>
      <x:c r="L3" s="20" t="str">
        <x:v>Publish mode</x:v>
      </x:c>
      <x:c r="M3" s="20" t="str">
        <x:v>Guardrail</x:v>
      </x:c>
    </x:row>
    <x:row r="4">
      <x:c r="A4" s="22" t="n">
        <x:v>1</x:v>
      </x:c>
      <x:c r="B4" s="22" t="str">
        <x:v>L-PILLAR</x:v>
      </x:c>
      <x:c r="C4" s="22" t="str">
        <x:v>Vay tiền mặt Home Credit online</x:v>
      </x:c>
      <x:c r="D4" s="22" t="str">
        <x:v>Cash Loan</x:v>
      </x:c>
      <x:c r="E4" s="22" t="str">
        <x:v>Existing pillar</x:v>
      </x:c>
      <x:c r="F4" s="22" t="str">
        <x:v>Pillar L</x:v>
      </x:c>
      <x:c r="G4" s="22" t="str">
        <x:v>Acquisition</x:v>
      </x:c>
      <x:c r="H4" s="22" t="str">
        <x:v>Transactional</x:v>
      </x:c>
      <x:c r="I4" s="22" t="str">
        <x:v>High</x:v>
      </x:c>
      <x:c r="J4" s="22" t="str">
        <x:v>P0</x:v>
      </x:c>
      <x:c r="K4" s="22" t="n">
        <x:v>1</x:v>
      </x:c>
      <x:c r="L4" s="22" t="str">
        <x:v>Update existing</x:v>
      </x:c>
      <x:c r="M4" s="22" t="str">
        <x:v>Không đổi URL; không hứa duyệt/hạn mức.</x:v>
      </x:c>
    </x:row>
    <x:row r="5">
      <x:c r="A5" s="22" t="n">
        <x:v>2</x:v>
      </x:c>
      <x:c r="B5" s="22" t="str">
        <x:v>C-PILLAR</x:v>
      </x:c>
      <x:c r="C5" s="22" t="str">
        <x:v>Mở thẻ tín dụng Home Credit online</x:v>
      </x:c>
      <x:c r="D5" s="22" t="str">
        <x:v>Credit Card</x:v>
      </x:c>
      <x:c r="E5" s="22" t="str">
        <x:v>New pillar</x:v>
      </x:c>
      <x:c r="F5" s="22" t="str">
        <x:v>Pillar C</x:v>
      </x:c>
      <x:c r="G5" s="22" t="str">
        <x:v>Acquisition</x:v>
      </x:c>
      <x:c r="H5" s="22" t="str">
        <x:v>Transactional</x:v>
      </x:c>
      <x:c r="I5" s="22" t="str">
        <x:v>High</x:v>
      </x:c>
      <x:c r="J5" s="22" t="str">
        <x:v>P0</x:v>
      </x:c>
      <x:c r="K5" s="22" t="n">
        <x:v>2</x:v>
      </x:c>
      <x:c r="L5" s="22" t="str">
        <x:v>New article</x:v>
      </x:c>
      <x:c r="M5" s="22" t="str">
        <x:v>Kiểm biểu phí hiện hành.</x:v>
      </x:c>
    </x:row>
    <x:row r="6">
      <x:c r="A6" s="22" t="n">
        <x:v>3</x:v>
      </x:c>
      <x:c r="B6" s="22" t="str">
        <x:v>L-RATE</x:v>
      </x:c>
      <x:c r="C6" s="22" t="str">
        <x:v>Lãi suất vay tiền mặt Home Credit tính thế nào?</x:v>
      </x:c>
      <x:c r="D6" s="22" t="str">
        <x:v>Cash Loan</x:v>
      </x:c>
      <x:c r="E6" s="22" t="str">
        <x:v>Support</x:v>
      </x:c>
      <x:c r="F6" s="22" t="str">
        <x:v>Support L-Rate</x:v>
      </x:c>
      <x:c r="G6" s="22" t="str">
        <x:v>Decision support</x:v>
      </x:c>
      <x:c r="H6" s="22" t="str">
        <x:v>Cost</x:v>
      </x:c>
      <x:c r="I6" s="22" t="str">
        <x:v>Medium</x:v>
      </x:c>
      <x:c r="J6" s="22" t="str">
        <x:v>P0</x:v>
      </x:c>
      <x:c r="K6" s="22" t="n">
        <x:v>3</x:v>
      </x:c>
      <x:c r="L6" s="22" t="str">
        <x:v>New article</x:v>
      </x:c>
      <x:c r="M6" s="22" t="str">
        <x:v>Phân biệt flat vs declining balance.</x:v>
      </x:c>
    </x:row>
    <x:row r="7">
      <x:c r="A7" s="22" t="n">
        <x:v>4</x:v>
      </x:c>
      <x:c r="B7" s="22" t="str">
        <x:v>L-REJECT</x:v>
      </x:c>
      <x:c r="C7" s="22" t="str">
        <x:v>Hồ sơ vay Home Credit bị từ chối vì sao?</x:v>
      </x:c>
      <x:c r="D7" s="22" t="str">
        <x:v>Cash Loan</x:v>
      </x:c>
      <x:c r="E7" s="22" t="str">
        <x:v>Support</x:v>
      </x:c>
      <x:c r="F7" s="22" t="str">
        <x:v>Support L-Reject</x:v>
      </x:c>
      <x:c r="G7" s="22" t="str">
        <x:v>Task completion</x:v>
      </x:c>
      <x:c r="H7" s="22" t="str">
        <x:v>Troubleshooting</x:v>
      </x:c>
      <x:c r="I7" s="22" t="str">
        <x:v>Low-Medium</x:v>
      </x:c>
      <x:c r="J7" s="22" t="str">
        <x:v>P0</x:v>
      </x:c>
      <x:c r="K7" s="22" t="n">
        <x:v>4</x:v>
      </x:c>
      <x:c r="L7" s="22" t="str">
        <x:v>New article</x:v>
      </x:c>
      <x:c r="M7" s="22" t="str">
        <x:v>Không dạy lách thẩm định.</x:v>
      </x:c>
    </x:row>
    <x:row r="8">
      <x:c r="A8" s="22" t="n">
        <x:v>5</x:v>
      </x:c>
      <x:c r="B8" s="22" t="str">
        <x:v>L-COST</x:v>
      </x:c>
      <x:c r="C8" s="22" t="str">
        <x:v>Vay Home Credit có phí gì? Bảo hiểm và tất toán trước hạn</x:v>
      </x:c>
      <x:c r="D8" s="22" t="str">
        <x:v>Cash Loan</x:v>
      </x:c>
      <x:c r="E8" s="22" t="str">
        <x:v>Support</x:v>
      </x:c>
      <x:c r="F8" s="22" t="str">
        <x:v>Support L-Cost</x:v>
      </x:c>
      <x:c r="G8" s="22" t="str">
        <x:v>Decision support</x:v>
      </x:c>
      <x:c r="H8" s="22" t="str">
        <x:v>Cost</x:v>
      </x:c>
      <x:c r="I8" s="22" t="str">
        <x:v>Medium</x:v>
      </x:c>
      <x:c r="J8" s="22" t="str">
        <x:v>P0</x:v>
      </x:c>
      <x:c r="K8" s="22" t="n">
        <x:v>5</x:v>
      </x:c>
      <x:c r="L8" s="22" t="str">
        <x:v>New article</x:v>
      </x:c>
      <x:c r="M8" s="22" t="str">
        <x:v>Nguồn hợp đồng/biểu phí hiện hành.</x:v>
      </x:c>
    </x:row>
    <x:row r="9">
      <x:c r="A9" s="22" t="n">
        <x:v>6</x:v>
      </x:c>
      <x:c r="B9" s="22" t="str">
        <x:v>C-COST</x:v>
      </x:c>
      <x:c r="C9" s="22" t="str">
        <x:v>Phí và lãi suất thẻ tín dụng Home Credit</x:v>
      </x:c>
      <x:c r="D9" s="22" t="str">
        <x:v>Credit Card</x:v>
      </x:c>
      <x:c r="E9" s="22" t="str">
        <x:v>Support</x:v>
      </x:c>
      <x:c r="F9" s="22" t="str">
        <x:v>Support C-Cost</x:v>
      </x:c>
      <x:c r="G9" s="22" t="str">
        <x:v>Decision support</x:v>
      </x:c>
      <x:c r="H9" s="22" t="str">
        <x:v>Cost</x:v>
      </x:c>
      <x:c r="I9" s="22" t="str">
        <x:v>Medium</x:v>
      </x:c>
      <x:c r="J9" s="22" t="str">
        <x:v>P0</x:v>
      </x:c>
      <x:c r="K9" s="22" t="n">
        <x:v>6</x:v>
      </x:c>
      <x:c r="L9" s="22" t="str">
        <x:v>New article</x:v>
      </x:c>
      <x:c r="M9" s="22" t="str">
        <x:v>Tra biểu phí mới nhất trước publish.</x:v>
      </x:c>
    </x:row>
    <x:row r="10">
      <x:c r="A10" s="22" t="n">
        <x:v>7</x:v>
      </x:c>
      <x:c r="B10" s="22" t="str">
        <x:v>C-CASH</x:v>
      </x:c>
      <x:c r="C10" s="22" t="str">
        <x:v>Rút tiền mặt từ thẻ tín dụng Home Credit</x:v>
      </x:c>
      <x:c r="D10" s="22" t="str">
        <x:v>Credit Card</x:v>
      </x:c>
      <x:c r="E10" s="22" t="str">
        <x:v>Support</x:v>
      </x:c>
      <x:c r="F10" s="22" t="str">
        <x:v>Support C-Cash</x:v>
      </x:c>
      <x:c r="G10" s="22" t="str">
        <x:v>Decision/support</x:v>
      </x:c>
      <x:c r="H10" s="22" t="str">
        <x:v>Cash advance</x:v>
      </x:c>
      <x:c r="I10" s="22" t="str">
        <x:v>Low</x:v>
      </x:c>
      <x:c r="J10" s="22" t="str">
        <x:v>P0</x:v>
      </x:c>
      <x:c r="K10" s="22" t="n">
        <x:v>7</x:v>
      </x:c>
      <x:c r="L10" s="22" t="str">
        <x:v>New article</x:v>
      </x:c>
      <x:c r="M10" s="22" t="str">
        <x:v>Nêu phí + lãi, không cổ vũ rút tiền.</x:v>
      </x:c>
    </x:row>
    <x:row r="11">
      <x:c r="A11" s="22" t="n">
        <x:v>8</x:v>
      </x:c>
      <x:c r="B11" s="22" t="str">
        <x:v>C-INSTALL</x:v>
      </x:c>
      <x:c r="C11" s="22" t="str">
        <x:v>Trả góp thẻ tín dụng Home Credit</x:v>
      </x:c>
      <x:c r="D11" s="22" t="str">
        <x:v>Credit Card</x:v>
      </x:c>
      <x:c r="E11" s="22" t="str">
        <x:v>Support</x:v>
      </x:c>
      <x:c r="F11" s="22" t="str">
        <x:v>Support C-Installment</x:v>
      </x:c>
      <x:c r="G11" s="22" t="str">
        <x:v>Post-action</x:v>
      </x:c>
      <x:c r="H11" s="22" t="str">
        <x:v>Installment</x:v>
      </x:c>
      <x:c r="I11" s="22" t="str">
        <x:v>Low</x:v>
      </x:c>
      <x:c r="J11" s="22" t="str">
        <x:v>P0</x:v>
      </x:c>
      <x:c r="K11" s="22" t="n">
        <x:v>8</x:v>
      </x:c>
      <x:c r="L11" s="22" t="str">
        <x:v>New article</x:v>
      </x:c>
      <x:c r="M11" s="22" t="str">
        <x:v>Nguồn điều khoản mới nhất.</x:v>
      </x:c>
    </x:row>
    <x:row r="12">
      <x:c r="A12" s="22" t="n">
        <x:v>9</x:v>
      </x:c>
      <x:c r="B12" s="22" t="str">
        <x:v>L-NEED</x:v>
      </x:c>
      <x:c r="C12" s="22" t="str">
        <x:v>Vay Home Credit cần gì? Điều kiện và giấy tờ</x:v>
      </x:c>
      <x:c r="D12" s="22" t="str">
        <x:v>Cash Loan</x:v>
      </x:c>
      <x:c r="E12" s="22" t="str">
        <x:v>Support</x:v>
      </x:c>
      <x:c r="F12" s="22" t="str">
        <x:v>Support L-Need</x:v>
      </x:c>
      <x:c r="G12" s="22" t="str">
        <x:v>Qualification</x:v>
      </x:c>
      <x:c r="H12" s="22" t="str">
        <x:v>Eligibility</x:v>
      </x:c>
      <x:c r="I12" s="22" t="str">
        <x:v>Medium</x:v>
      </x:c>
      <x:c r="J12" s="22" t="str">
        <x:v>P1</x:v>
      </x:c>
      <x:c r="K12" s="22" t="n">
        <x:v>9</x:v>
      </x:c>
      <x:c r="L12" s="22" t="str">
        <x:v>New article</x:v>
      </x:c>
      <x:c r="M12" s="22" t="str">
        <x:v>Điều kiện không đồng nghĩa phê duyệt.</x:v>
      </x:c>
    </x:row>
    <x:row r="13">
      <x:c r="A13" s="22" t="n">
        <x:v>10</x:v>
      </x:c>
      <x:c r="B13" s="22" t="str">
        <x:v>L-TIME</x:v>
      </x:c>
      <x:c r="C13" s="22" t="str">
        <x:v>Home Credit duyệt hồ sơ và giải ngân bao lâu?</x:v>
      </x:c>
      <x:c r="D13" s="22" t="str">
        <x:v>Cash Loan</x:v>
      </x:c>
      <x:c r="E13" s="22" t="str">
        <x:v>Support</x:v>
      </x:c>
      <x:c r="F13" s="22" t="str">
        <x:v>Support L-Time</x:v>
      </x:c>
      <x:c r="G13" s="22" t="str">
        <x:v>Task completion</x:v>
      </x:c>
      <x:c r="H13" s="22" t="str">
        <x:v>Timing</x:v>
      </x:c>
      <x:c r="I13" s="22" t="str">
        <x:v>Medium</x:v>
      </x:c>
      <x:c r="J13" s="22" t="str">
        <x:v>P1</x:v>
      </x:c>
      <x:c r="K13" s="22" t="n">
        <x:v>10</x:v>
      </x:c>
      <x:c r="L13" s="22" t="str">
        <x:v>Conditional article</x:v>
      </x:c>
      <x:c r="M13" s="22" t="str">
        <x:v>Không cam kết thời gian cho mọi hồ sơ.</x:v>
      </x:c>
    </x:row>
    <x:row r="14">
      <x:c r="A14" s="22" t="n">
        <x:v>11</x:v>
      </x:c>
      <x:c r="B14" s="22" t="str">
        <x:v>L-PAY</x:v>
      </x:c>
      <x:c r="C14" s="22" t="str">
        <x:v>Thanh toán khoản vay Home Credit và xử lý trễ hạn</x:v>
      </x:c>
      <x:c r="D14" s="22" t="str">
        <x:v>Cash Loan</x:v>
      </x:c>
      <x:c r="E14" s="22" t="str">
        <x:v>Support</x:v>
      </x:c>
      <x:c r="F14" s="22" t="str">
        <x:v>Support L-Payment</x:v>
      </x:c>
      <x:c r="G14" s="22" t="str">
        <x:v>Servicing</x:v>
      </x:c>
      <x:c r="H14" s="22" t="str">
        <x:v>Payment</x:v>
      </x:c>
      <x:c r="I14" s="22" t="str">
        <x:v>Low</x:v>
      </x:c>
      <x:c r="J14" s="22" t="str">
        <x:v>P1</x:v>
      </x:c>
      <x:c r="K14" s="22" t="n">
        <x:v>11</x:v>
      </x:c>
      <x:c r="L14" s="22" t="str">
        <x:v>New article</x:v>
      </x:c>
      <x:c r="M14" s="22" t="str">
        <x:v>Không hướng dẫn né nghĩa vụ trả nợ.</x:v>
      </x:c>
    </x:row>
    <x:row r="15">
      <x:c r="A15" s="22" t="n">
        <x:v>12</x:v>
      </x:c>
      <x:c r="B15" s="22" t="str">
        <x:v>C-NEED</x:v>
      </x:c>
      <x:c r="C15" s="22" t="str">
        <x:v>Điều kiện mở thẻ tín dụng Home Credit</x:v>
      </x:c>
      <x:c r="D15" s="22" t="str">
        <x:v>Credit Card</x:v>
      </x:c>
      <x:c r="E15" s="22" t="str">
        <x:v>Support</x:v>
      </x:c>
      <x:c r="F15" s="22" t="str">
        <x:v>Support C-Need</x:v>
      </x:c>
      <x:c r="G15" s="22" t="str">
        <x:v>Qualification</x:v>
      </x:c>
      <x:c r="H15" s="22" t="str">
        <x:v>Eligibility</x:v>
      </x:c>
      <x:c r="I15" s="22" t="str">
        <x:v>Medium</x:v>
      </x:c>
      <x:c r="J15" s="22" t="str">
        <x:v>P1</x:v>
      </x:c>
      <x:c r="K15" s="22" t="n">
        <x:v>12</x:v>
      </x:c>
      <x:c r="L15" s="22" t="str">
        <x:v>New article</x:v>
      </x:c>
      <x:c r="M15" s="22" t="str">
        <x:v>Không hứa được cấp thẻ/hạn mức.</x:v>
      </x:c>
    </x:row>
    <x:row r="16">
      <x:c r="A16" s="22" t="n">
        <x:v>13</x:v>
      </x:c>
      <x:c r="B16" s="22" t="str">
        <x:v>C-STATEMENT</x:v>
      </x:c>
      <x:c r="C16" s="22" t="str">
        <x:v>Sao kê, ngày đến hạn và thanh toán tối thiểu thẻ Home Credit</x:v>
      </x:c>
      <x:c r="D16" s="22" t="str">
        <x:v>Credit Card</x:v>
      </x:c>
      <x:c r="E16" s="22" t="str">
        <x:v>Support</x:v>
      </x:c>
      <x:c r="F16" s="22" t="str">
        <x:v>Support C-Statement</x:v>
      </x:c>
      <x:c r="G16" s="22" t="str">
        <x:v>Servicing</x:v>
      </x:c>
      <x:c r="H16" s="22" t="str">
        <x:v>Billing</x:v>
      </x:c>
      <x:c r="I16" s="22" t="str">
        <x:v>Low</x:v>
      </x:c>
      <x:c r="J16" s="22" t="str">
        <x:v>P1</x:v>
      </x:c>
      <x:c r="K16" s="22" t="n">
        <x:v>13</x:v>
      </x:c>
      <x:c r="L16" s="22" t="str">
        <x:v>New article</x:v>
      </x:c>
      <x:c r="M16" s="22" t="str">
        <x:v>Kiểm FAQ/biểu phí hiện hành.</x:v>
      </x:c>
    </x:row>
    <x:row r="17">
      <x:c r="A17" s="22" t="n">
        <x:v>14</x:v>
      </x:c>
      <x:c r="B17" s="22" t="str">
        <x:v>C-ACTIVATE</x:v>
      </x:c>
      <x:c r="C17" s="22" t="str">
        <x:v>Cách kích hoạt thẻ tín dụng Home Credit</x:v>
      </x:c>
      <x:c r="D17" s="22" t="str">
        <x:v>Credit Card</x:v>
      </x:c>
      <x:c r="E17" s="22" t="str">
        <x:v>Support</x:v>
      </x:c>
      <x:c r="F17" s="22" t="str">
        <x:v>Support C-Activate</x:v>
      </x:c>
      <x:c r="G17" s="22" t="str">
        <x:v>Post-approval</x:v>
      </x:c>
      <x:c r="H17" s="22" t="str">
        <x:v>Activation</x:v>
      </x:c>
      <x:c r="I17" s="22" t="str">
        <x:v>Low</x:v>
      </x:c>
      <x:c r="J17" s="22" t="str">
        <x:v>P1</x:v>
      </x:c>
      <x:c r="K17" s="22" t="n">
        <x:v>14</x:v>
      </x:c>
      <x:c r="L17" s="22" t="str">
        <x:v>Conditional article</x:v>
      </x:c>
      <x:c r="M17" s="22" t="str">
        <x:v>App/hotline hiện hành.</x:v>
      </x:c>
    </x:row>
    <x:row r="18">
      <x:c r="A18" s="22" t="n">
        <x:v>15</x:v>
      </x:c>
      <x:c r="B18" s="22" t="str">
        <x:v>B-COMPARE</x:v>
      </x:c>
      <x:c r="C18" s="22" t="str">
        <x:v>Vay tiền mặt hay thẻ tín dụng Home Credit khác nhau thế nào?</x:v>
      </x:c>
      <x:c r="D18" s="22" t="str">
        <x:v>Bridge</x:v>
      </x:c>
      <x:c r="E18" s="22" t="str">
        <x:v>Bridge</x:v>
      </x:c>
      <x:c r="F18" s="22" t="str">
        <x:v>Bridge L↔C</x:v>
      </x:c>
      <x:c r="G18" s="22" t="str">
        <x:v>Routing</x:v>
      </x:c>
      <x:c r="H18" s="22" t="str">
        <x:v>Clarification</x:v>
      </x:c>
      <x:c r="I18" s="22" t="str">
        <x:v>Low-Medium</x:v>
      </x:c>
      <x:c r="J18" s="22" t="str">
        <x:v>P1</x:v>
      </x:c>
      <x:c r="K18" s="22" t="n">
        <x:v>15</x:v>
      </x:c>
      <x:c r="L18" s="22" t="str">
        <x:v>New article</x:v>
      </x:c>
      <x:c r="M18" s="22" t="str">
        <x:v>Không đưa khuyến nghị tài chính cá nhân hóa.</x:v>
      </x:c>
    </x:row>
  </x:sheetData>
  <x:mergeCells>
    <x:mergeCell ref="A1:M1"/>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4" hidden="0" customWidth="1"/>
    <x:col min="3" max="3" width="50" hidden="0" customWidth="1"/>
    <x:col min="4" max="4" width="18" hidden="0" customWidth="1"/>
    <x:col min="5" max="5" width="24" hidden="0" customWidth="1"/>
    <x:col min="6" max="6" width="26" hidden="0" customWidth="1"/>
    <x:col min="7" max="7" width="26" hidden="0" customWidth="1"/>
    <x:col min="8" max="8" width="10" hidden="0" customWidth="1"/>
    <x:col min="9" max="9" width="12" hidden="0" customWidth="1"/>
    <x:col min="10" max="10" width="18" hidden="0" customWidth="1"/>
    <x:col min="11" max="11" width="58" hidden="0" customWidth="1"/>
    <x:col min="12" max="12" width="42" hidden="0" customWidth="1"/>
  </x:cols>
  <x:sheetData>
    <x:row r="1">
      <x:c r="A1" s="28" t="str">
        <x:v>HOME CREDIT – EXECUTION BRIEF INDEX</x:v>
      </x:c>
      <x:c r="B1" s="28"/>
      <x:c r="C1" s="28"/>
      <x:c r="D1" s="28"/>
      <x:c r="E1" s="28"/>
      <x:c r="F1" s="28"/>
      <x:c r="G1" s="28"/>
      <x:c r="H1" s="28"/>
      <x:c r="I1" s="28"/>
      <x:c r="J1" s="28"/>
      <x:c r="K1" s="28"/>
      <x:c r="L1" s="28"/>
    </x:row>
    <x:row r="3">
      <x:c r="A3" s="20" t="str">
        <x:v>Order</x:v>
      </x:c>
      <x:c r="B3" s="20" t="str">
        <x:v>Asset ID</x:v>
      </x:c>
      <x:c r="C3" s="20" t="str">
        <x:v>Content asset</x:v>
      </x:c>
      <x:c r="D3" s="20" t="str">
        <x:v>Type</x:v>
      </x:c>
      <x:c r="E3" s="20" t="str">
        <x:v>Canonical owner</x:v>
      </x:c>
      <x:c r="F3" s="20" t="str">
        <x:v>Search intent</x:v>
      </x:c>
      <x:c r="G3" s="20" t="str">
        <x:v>Affiliate role</x:v>
      </x:c>
      <x:c r="H3" s="20" t="str">
        <x:v>Priority</x:v>
      </x:c>
      <x:c r="I3" s="20" t="str">
        <x:v>Target day</x:v>
      </x:c>
      <x:c r="J3" s="20" t="str">
        <x:v>Status</x:v>
      </x:c>
      <x:c r="K3" s="20" t="str">
        <x:v>Primary source</x:v>
      </x:c>
      <x:c r="L3" s="20" t="str">
        <x:v>Notes</x:v>
      </x:c>
    </x:row>
    <x:row r="4">
      <x:c r="A4" s="22" t="n">
        <x:v>1</x:v>
      </x:c>
      <x:c r="B4" s="22" t="str">
        <x:v>L-PILLAR</x:v>
      </x:c>
      <x:c r="C4" s="22" t="str">
        <x:v>Vay tiền mặt Home Credit online</x:v>
      </x:c>
      <x:c r="D4" s="22" t="str">
        <x:v>Existing pillar</x:v>
      </x:c>
      <x:c r="E4" s="22" t="str">
        <x:v>Pillar L</x:v>
      </x:c>
      <x:c r="F4" s="22" t="str">
        <x:v>Transactional</x:v>
      </x:c>
      <x:c r="G4" s="22" t="str">
        <x:v>Acquisition</x:v>
      </x:c>
      <x:c r="H4" s="22" t="str">
        <x:v>P0</x:v>
      </x:c>
      <x:c r="I4" s="22" t="n">
        <x:v>1</x:v>
      </x:c>
      <x:c r="J4" s="22" t="str">
        <x:v>Ready / gated</x:v>
      </x:c>
      <x:c r="K4" s="22" t="str">
        <x:v>https://dangky.homecredit.vn/vay-tien</x:v>
      </x:c>
      <x:c r="L4" s="22" t="str">
        <x:v>Không đổi URL; không hứa duyệt/hạn mức.</x:v>
      </x:c>
    </x:row>
    <x:row r="5">
      <x:c r="A5" s="22" t="n">
        <x:v>2</x:v>
      </x:c>
      <x:c r="B5" s="22" t="str">
        <x:v>C-PILLAR</x:v>
      </x:c>
      <x:c r="C5" s="22" t="str">
        <x:v>Mở thẻ tín dụng Home Credit online</x:v>
      </x:c>
      <x:c r="D5" s="22" t="str">
        <x:v>New pillar</x:v>
      </x:c>
      <x:c r="E5" s="22" t="str">
        <x:v>Pillar C</x:v>
      </x:c>
      <x:c r="F5" s="22" t="str">
        <x:v>Transactional</x:v>
      </x:c>
      <x:c r="G5" s="22" t="str">
        <x:v>Acquisition</x:v>
      </x:c>
      <x:c r="H5" s="22" t="str">
        <x:v>P0</x:v>
      </x:c>
      <x:c r="I5" s="22" t="n">
        <x:v>2</x:v>
      </x:c>
      <x:c r="J5" s="22" t="str">
        <x:v>Ready / gated</x:v>
      </x:c>
      <x:c r="K5" s="22" t="str">
        <x:v>https://www.homecredit.vn/the-tin-dung-online</x:v>
      </x:c>
      <x:c r="L5" s="22" t="str">
        <x:v>Kiểm biểu phí hiện hành.</x:v>
      </x:c>
    </x:row>
    <x:row r="6">
      <x:c r="A6" s="22" t="n">
        <x:v>3</x:v>
      </x:c>
      <x:c r="B6" s="22" t="str">
        <x:v>L-RATE</x:v>
      </x:c>
      <x:c r="C6" s="22" t="str">
        <x:v>Lãi suất vay tiền mặt Home Credit tính thế nào?</x:v>
      </x:c>
      <x:c r="D6" s="22" t="str">
        <x:v>Support</x:v>
      </x:c>
      <x:c r="E6" s="22" t="str">
        <x:v>Support L-Rate</x:v>
      </x:c>
      <x:c r="F6" s="22" t="str">
        <x:v>Cost</x:v>
      </x:c>
      <x:c r="G6" s="22" t="str">
        <x:v>Decision support</x:v>
      </x:c>
      <x:c r="H6" s="22" t="str">
        <x:v>P0</x:v>
      </x:c>
      <x:c r="I6" s="22" t="n">
        <x:v>3</x:v>
      </x:c>
      <x:c r="J6" s="22" t="str">
        <x:v>Ready / gated</x:v>
      </x:c>
      <x:c r="K6" s="22" t="str">
        <x:v>https://www.homecredit.vn/faq/vay-tien-mat</x:v>
      </x:c>
      <x:c r="L6" s="22" t="str">
        <x:v>Phân biệt flat vs declining balance.</x:v>
      </x:c>
    </x:row>
    <x:row r="7">
      <x:c r="A7" s="22" t="n">
        <x:v>4</x:v>
      </x:c>
      <x:c r="B7" s="22" t="str">
        <x:v>L-REJECT</x:v>
      </x:c>
      <x:c r="C7" s="22" t="str">
        <x:v>Hồ sơ vay Home Credit bị từ chối vì sao?</x:v>
      </x:c>
      <x:c r="D7" s="22" t="str">
        <x:v>Support</x:v>
      </x:c>
      <x:c r="E7" s="22" t="str">
        <x:v>Support L-Reject</x:v>
      </x:c>
      <x:c r="F7" s="22" t="str">
        <x:v>Troubleshooting</x:v>
      </x:c>
      <x:c r="G7" s="22" t="str">
        <x:v>Task completion</x:v>
      </x:c>
      <x:c r="H7" s="22" t="str">
        <x:v>P0</x:v>
      </x:c>
      <x:c r="I7" s="22" t="n">
        <x:v>4</x:v>
      </x:c>
      <x:c r="J7" s="22" t="str">
        <x:v>Ready / gated</x:v>
      </x:c>
      <x:c r="K7" s="22" t="str">
        <x:v>https://www.homecredit.vn/faq/hop-dong-vay</x:v>
      </x:c>
      <x:c r="L7" s="22" t="str">
        <x:v>Không dạy lách thẩm định.</x:v>
      </x:c>
    </x:row>
    <x:row r="8">
      <x:c r="A8" s="22" t="n">
        <x:v>5</x:v>
      </x:c>
      <x:c r="B8" s="22" t="str">
        <x:v>L-COST</x:v>
      </x:c>
      <x:c r="C8" s="22" t="str">
        <x:v>Vay Home Credit có phí gì? Bảo hiểm và tất toán trước hạn</x:v>
      </x:c>
      <x:c r="D8" s="22" t="str">
        <x:v>Support</x:v>
      </x:c>
      <x:c r="E8" s="22" t="str">
        <x:v>Support L-Cost</x:v>
      </x:c>
      <x:c r="F8" s="22" t="str">
        <x:v>Cost</x:v>
      </x:c>
      <x:c r="G8" s="22" t="str">
        <x:v>Decision support</x:v>
      </x:c>
      <x:c r="H8" s="22" t="str">
        <x:v>P0</x:v>
      </x:c>
      <x:c r="I8" s="22" t="n">
        <x:v>5</x:v>
      </x:c>
      <x:c r="J8" s="22" t="str">
        <x:v>Ready / gated</x:v>
      </x:c>
      <x:c r="K8" s="22" t="str">
        <x:v>https://dangky.homecredit.vn/vay-tien</x:v>
      </x:c>
      <x:c r="L8" s="22" t="str">
        <x:v>Nguồn hợp đồng/biểu phí hiện hành.</x:v>
      </x:c>
    </x:row>
    <x:row r="9">
      <x:c r="A9" s="22" t="n">
        <x:v>6</x:v>
      </x:c>
      <x:c r="B9" s="22" t="str">
        <x:v>C-COST</x:v>
      </x:c>
      <x:c r="C9" s="22" t="str">
        <x:v>Phí và lãi suất thẻ tín dụng Home Credit</x:v>
      </x:c>
      <x:c r="D9" s="22" t="str">
        <x:v>Support</x:v>
      </x:c>
      <x:c r="E9" s="22" t="str">
        <x:v>Support C-Cost</x:v>
      </x:c>
      <x:c r="F9" s="22" t="str">
        <x:v>Cost</x:v>
      </x:c>
      <x:c r="G9" s="22" t="str">
        <x:v>Decision support</x:v>
      </x:c>
      <x:c r="H9" s="22" t="str">
        <x:v>P0</x:v>
      </x:c>
      <x:c r="I9" s="22" t="n">
        <x:v>6</x:v>
      </x:c>
      <x:c r="J9" s="22" t="str">
        <x:v>Ready / gated</x:v>
      </x:c>
      <x:c r="K9" s="22" t="str">
        <x:v>https://www.homecredit.vn/tra-cuu-mau-hop-dong</x:v>
      </x:c>
      <x:c r="L9" s="22" t="str">
        <x:v>Tra biểu phí mới nhất trước publish.</x:v>
      </x:c>
    </x:row>
    <x:row r="10">
      <x:c r="A10" s="22" t="n">
        <x:v>7</x:v>
      </x:c>
      <x:c r="B10" s="22" t="str">
        <x:v>C-CASH</x:v>
      </x:c>
      <x:c r="C10" s="22" t="str">
        <x:v>Rút tiền mặt từ thẻ tín dụng Home Credit</x:v>
      </x:c>
      <x:c r="D10" s="22" t="str">
        <x:v>Support</x:v>
      </x:c>
      <x:c r="E10" s="22" t="str">
        <x:v>Support C-Cash</x:v>
      </x:c>
      <x:c r="F10" s="22" t="str">
        <x:v>Cash advance</x:v>
      </x:c>
      <x:c r="G10" s="22" t="str">
        <x:v>Decision/support</x:v>
      </x:c>
      <x:c r="H10" s="22" t="str">
        <x:v>P0</x:v>
      </x:c>
      <x:c r="I10" s="22" t="n">
        <x:v>7</x:v>
      </x:c>
      <x:c r="J10" s="22" t="str">
        <x:v>Ready / gated</x:v>
      </x:c>
      <x:c r="K10" s="22" t="str">
        <x:v>https://www.homecredit.vn/faq/the-tin-dung</x:v>
      </x:c>
      <x:c r="L10" s="22" t="str">
        <x:v>Nêu phí + lãi, không cổ vũ rút tiền.</x:v>
      </x:c>
    </x:row>
    <x:row r="11">
      <x:c r="A11" s="22" t="n">
        <x:v>8</x:v>
      </x:c>
      <x:c r="B11" s="22" t="str">
        <x:v>C-INSTALL</x:v>
      </x:c>
      <x:c r="C11" s="22" t="str">
        <x:v>Trả góp thẻ tín dụng Home Credit</x:v>
      </x:c>
      <x:c r="D11" s="22" t="str">
        <x:v>Support</x:v>
      </x:c>
      <x:c r="E11" s="22" t="str">
        <x:v>Support C-Installment</x:v>
      </x:c>
      <x:c r="F11" s="22" t="str">
        <x:v>Installment</x:v>
      </x:c>
      <x:c r="G11" s="22" t="str">
        <x:v>Post-action</x:v>
      </x:c>
      <x:c r="H11" s="22" t="str">
        <x:v>P0</x:v>
      </x:c>
      <x:c r="I11" s="22" t="n">
        <x:v>8</x:v>
      </x:c>
      <x:c r="J11" s="22" t="str">
        <x:v>Ready / gated</x:v>
      </x:c>
      <x:c r="K11" s="22" t="str">
        <x:v>https://www.homecredit.vn/tra-cuu-mau-hop-dong</x:v>
      </x:c>
      <x:c r="L11" s="22" t="str">
        <x:v>Nguồn điều khoản mới nhất.</x:v>
      </x:c>
    </x:row>
    <x:row r="12">
      <x:c r="A12" s="22" t="n">
        <x:v>9</x:v>
      </x:c>
      <x:c r="B12" s="22" t="str">
        <x:v>L-NEED</x:v>
      </x:c>
      <x:c r="C12" s="22" t="str">
        <x:v>Vay Home Credit cần gì? Điều kiện và giấy tờ</x:v>
      </x:c>
      <x:c r="D12" s="22" t="str">
        <x:v>Support</x:v>
      </x:c>
      <x:c r="E12" s="22" t="str">
        <x:v>Support L-Need</x:v>
      </x:c>
      <x:c r="F12" s="22" t="str">
        <x:v>Eligibility</x:v>
      </x:c>
      <x:c r="G12" s="22" t="str">
        <x:v>Qualification</x:v>
      </x:c>
      <x:c r="H12" s="22" t="str">
        <x:v>P1</x:v>
      </x:c>
      <x:c r="I12" s="22" t="n">
        <x:v>9</x:v>
      </x:c>
      <x:c r="J12" s="22" t="str">
        <x:v>Ready / gated</x:v>
      </x:c>
      <x:c r="K12" s="22" t="str">
        <x:v>https://www.homecredit.vn/blog/cap-nhat-hop-dong-cho-vay-tien-mat</x:v>
      </x:c>
      <x:c r="L12" s="22" t="str">
        <x:v>Điều kiện không đồng nghĩa phê duyệt.</x:v>
      </x:c>
    </x:row>
    <x:row r="13">
      <x:c r="A13" s="22" t="n">
        <x:v>10</x:v>
      </x:c>
      <x:c r="B13" s="22" t="str">
        <x:v>L-TIME</x:v>
      </x:c>
      <x:c r="C13" s="22" t="str">
        <x:v>Home Credit duyệt hồ sơ và giải ngân bao lâu?</x:v>
      </x:c>
      <x:c r="D13" s="22" t="str">
        <x:v>Support</x:v>
      </x:c>
      <x:c r="E13" s="22" t="str">
        <x:v>Support L-Time</x:v>
      </x:c>
      <x:c r="F13" s="22" t="str">
        <x:v>Timing</x:v>
      </x:c>
      <x:c r="G13" s="22" t="str">
        <x:v>Task completion</x:v>
      </x:c>
      <x:c r="H13" s="22" t="str">
        <x:v>P1</x:v>
      </x:c>
      <x:c r="I13" s="22" t="n">
        <x:v>10</x:v>
      </x:c>
      <x:c r="J13" s="22" t="str">
        <x:v>Ready / gated</x:v>
      </x:c>
      <x:c r="K13" s="22" t="str">
        <x:v>https://dangky.homecredit.vn/vay-tien</x:v>
      </x:c>
      <x:c r="L13" s="22" t="str">
        <x:v>Không cam kết thời gian cho mọi hồ sơ.</x:v>
      </x:c>
    </x:row>
    <x:row r="14">
      <x:c r="A14" s="22" t="n">
        <x:v>11</x:v>
      </x:c>
      <x:c r="B14" s="22" t="str">
        <x:v>L-PAY</x:v>
      </x:c>
      <x:c r="C14" s="22" t="str">
        <x:v>Thanh toán khoản vay Home Credit và xử lý trễ hạn</x:v>
      </x:c>
      <x:c r="D14" s="22" t="str">
        <x:v>Support</x:v>
      </x:c>
      <x:c r="E14" s="22" t="str">
        <x:v>Support L-Payment</x:v>
      </x:c>
      <x:c r="F14" s="22" t="str">
        <x:v>Payment</x:v>
      </x:c>
      <x:c r="G14" s="22" t="str">
        <x:v>Servicing</x:v>
      </x:c>
      <x:c r="H14" s="22" t="str">
        <x:v>P1</x:v>
      </x:c>
      <x:c r="I14" s="22" t="n">
        <x:v>11</x:v>
      </x:c>
      <x:c r="J14" s="22" t="str">
        <x:v>Ready / gated</x:v>
      </x:c>
      <x:c r="K14" s="22" t="str">
        <x:v>https://www.homecredit.vn/faq/ung-dung-home-credit</x:v>
      </x:c>
      <x:c r="L14" s="22" t="str">
        <x:v>Không hướng dẫn né nghĩa vụ trả nợ.</x:v>
      </x:c>
    </x:row>
    <x:row r="15">
      <x:c r="A15" s="22" t="n">
        <x:v>12</x:v>
      </x:c>
      <x:c r="B15" s="22" t="str">
        <x:v>C-NEED</x:v>
      </x:c>
      <x:c r="C15" s="22" t="str">
        <x:v>Điều kiện mở thẻ tín dụng Home Credit</x:v>
      </x:c>
      <x:c r="D15" s="22" t="str">
        <x:v>Support</x:v>
      </x:c>
      <x:c r="E15" s="22" t="str">
        <x:v>Support C-Need</x:v>
      </x:c>
      <x:c r="F15" s="22" t="str">
        <x:v>Eligibility</x:v>
      </x:c>
      <x:c r="G15" s="22" t="str">
        <x:v>Qualification</x:v>
      </x:c>
      <x:c r="H15" s="22" t="str">
        <x:v>P1</x:v>
      </x:c>
      <x:c r="I15" s="22" t="n">
        <x:v>12</x:v>
      </x:c>
      <x:c r="J15" s="22" t="str">
        <x:v>Ready / gated</x:v>
      </x:c>
      <x:c r="K15" s="22" t="str">
        <x:v>https://www.homecredit.vn/the-tin-dung-online</x:v>
      </x:c>
      <x:c r="L15" s="22" t="str">
        <x:v>Không hứa được cấp thẻ/hạn mức.</x:v>
      </x:c>
    </x:row>
    <x:row r="16">
      <x:c r="A16" s="22" t="n">
        <x:v>13</x:v>
      </x:c>
      <x:c r="B16" s="22" t="str">
        <x:v>C-STATEMENT</x:v>
      </x:c>
      <x:c r="C16" s="22" t="str">
        <x:v>Sao kê, ngày đến hạn và thanh toán tối thiểu thẻ Home Credit</x:v>
      </x:c>
      <x:c r="D16" s="22" t="str">
        <x:v>Support</x:v>
      </x:c>
      <x:c r="E16" s="22" t="str">
        <x:v>Support C-Statement</x:v>
      </x:c>
      <x:c r="F16" s="22" t="str">
        <x:v>Billing</x:v>
      </x:c>
      <x:c r="G16" s="22" t="str">
        <x:v>Servicing</x:v>
      </x:c>
      <x:c r="H16" s="22" t="str">
        <x:v>P1</x:v>
      </x:c>
      <x:c r="I16" s="22" t="n">
        <x:v>13</x:v>
      </x:c>
      <x:c r="J16" s="22" t="str">
        <x:v>Ready / gated</x:v>
      </x:c>
      <x:c r="K16" s="22" t="str">
        <x:v>https://www.homecredit.vn/faq/the-tin-dung</x:v>
      </x:c>
      <x:c r="L16" s="22" t="str">
        <x:v>Kiểm FAQ/biểu phí hiện hành.</x:v>
      </x:c>
    </x:row>
    <x:row r="17">
      <x:c r="A17" s="22" t="n">
        <x:v>14</x:v>
      </x:c>
      <x:c r="B17" s="22" t="str">
        <x:v>C-ACTIVATE</x:v>
      </x:c>
      <x:c r="C17" s="22" t="str">
        <x:v>Cách kích hoạt thẻ tín dụng Home Credit</x:v>
      </x:c>
      <x:c r="D17" s="22" t="str">
        <x:v>Support</x:v>
      </x:c>
      <x:c r="E17" s="22" t="str">
        <x:v>Support C-Activate</x:v>
      </x:c>
      <x:c r="F17" s="22" t="str">
        <x:v>Activation</x:v>
      </x:c>
      <x:c r="G17" s="22" t="str">
        <x:v>Post-approval</x:v>
      </x:c>
      <x:c r="H17" s="22" t="str">
        <x:v>P1</x:v>
      </x:c>
      <x:c r="I17" s="22" t="n">
        <x:v>14</x:v>
      </x:c>
      <x:c r="J17" s="22" t="str">
        <x:v>Ready / gated</x:v>
      </x:c>
      <x:c r="K17" s="22" t="str">
        <x:v>https://www.homecredit.vn/faq/the-tin-dung</x:v>
      </x:c>
      <x:c r="L17" s="22" t="str">
        <x:v>App/hotline hiện hành.</x:v>
      </x:c>
    </x:row>
    <x:row r="18">
      <x:c r="A18" s="22" t="n">
        <x:v>15</x:v>
      </x:c>
      <x:c r="B18" s="22" t="str">
        <x:v>B-COMPARE</x:v>
      </x:c>
      <x:c r="C18" s="22" t="str">
        <x:v>Vay tiền mặt hay thẻ tín dụng Home Credit khác nhau thế nào?</x:v>
      </x:c>
      <x:c r="D18" s="22" t="str">
        <x:v>Bridge</x:v>
      </x:c>
      <x:c r="E18" s="22" t="str">
        <x:v>Bridge L↔C</x:v>
      </x:c>
      <x:c r="F18" s="22" t="str">
        <x:v>Clarification</x:v>
      </x:c>
      <x:c r="G18" s="22" t="str">
        <x:v>Routing</x:v>
      </x:c>
      <x:c r="H18" s="22" t="str">
        <x:v>P1</x:v>
      </x:c>
      <x:c r="I18" s="22" t="n">
        <x:v>15</x:v>
      </x:c>
      <x:c r="J18" s="22" t="str">
        <x:v>Ready / gated</x:v>
      </x:c>
      <x:c r="K18" s="22" t="str">
        <x:v>https://www.homecredit.vn/</x:v>
      </x:c>
      <x:c r="L18" s="22" t="str">
        <x:v>Không đưa khuyến nghị tài chính cá nhân hóa.</x:v>
      </x:c>
    </x:row>
  </x:sheetData>
  <x:mergeCells>
    <x:mergeCell ref="A1:L1"/>
  </x:mergeCells>
  <x:pageMargins left="0.7" right="0.7" top="0.75" bottom="0.75" header="0.3" footer="0.3"/>
</x:worksheet>
</file>

<file path=xl/worksheets/sheet7.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14" hidden="0" customWidth="1"/>
    <x:col min="2" max="2" width="18" hidden="0" customWidth="1"/>
    <x:col min="3" max="3" width="16" hidden="0" customWidth="1"/>
    <x:col min="4" max="4" width="54" hidden="0" customWidth="1"/>
    <x:col min="5" max="5" width="26" hidden="0" customWidth="1"/>
    <x:col min="6" max="6" width="34" hidden="0" customWidth="1"/>
    <x:col min="7" max="7" width="50" hidden="0" customWidth="1"/>
    <x:col min="8" max="8" width="48" hidden="0" customWidth="1"/>
    <x:col min="9" max="9" width="42" hidden="0" customWidth="1"/>
    <x:col min="10" max="10" width="22" hidden="0" customWidth="1"/>
    <x:col min="11" max="11" width="28" hidden="0" customWidth="1"/>
    <x:col min="12" max="12" width="34" hidden="0" customWidth="1"/>
    <x:col min="13" max="13" width="60" hidden="0" customWidth="1"/>
    <x:col min="14" max="14" width="42" hidden="0" customWidth="1"/>
    <x:col min="15" max="15" width="10" hidden="0" customWidth="1"/>
    <x:col min="16" max="16" width="28" hidden="0" customWidth="1"/>
    <x:col min="17" max="17" width="46" hidden="0" customWidth="1"/>
  </x:cols>
  <x:sheetData>
    <x:row r="1">
      <x:c r="A1" s="28" t="str">
        <x:v>HOME CREDIT – DETAILED EXECUTION BRIEFS</x:v>
      </x:c>
      <x:c r="B1" s="28"/>
      <x:c r="C1" s="28"/>
      <x:c r="D1" s="28"/>
      <x:c r="E1" s="28"/>
      <x:c r="F1" s="28"/>
      <x:c r="G1" s="28"/>
      <x:c r="H1" s="28"/>
      <x:c r="I1" s="28"/>
      <x:c r="J1" s="28"/>
      <x:c r="K1" s="28"/>
      <x:c r="L1" s="28"/>
      <x:c r="M1" s="28"/>
      <x:c r="N1" s="28"/>
      <x:c r="O1" s="28"/>
      <x:c r="P1" s="28"/>
      <x:c r="Q1" s="28"/>
    </x:row>
    <x:row r="2">
      <x:c r="A2" s="42" t="str">
        <x:v>Filter theo Asset ID. Các con số lãi/phí/hạn mức chỉ được đưa vào production khi source gate xác nhận nguồn Home Credit hiện hành.</x:v>
      </x:c>
      <x:c r="B2" s="42"/>
      <x:c r="C2" s="42"/>
      <x:c r="D2" s="42"/>
      <x:c r="E2" s="42"/>
      <x:c r="F2" s="42"/>
      <x:c r="G2" s="42"/>
      <x:c r="H2" s="42"/>
      <x:c r="I2" s="42"/>
      <x:c r="J2" s="42"/>
      <x:c r="K2" s="42"/>
      <x:c r="L2" s="42"/>
      <x:c r="M2" s="42"/>
      <x:c r="N2" s="42"/>
      <x:c r="O2" s="42"/>
      <x:c r="P2" s="42"/>
      <x:c r="Q2" s="42"/>
    </x:row>
    <x:row r="4">
      <x:c r="A4" s="20" t="str">
        <x:v>Asset ID</x:v>
      </x:c>
      <x:c r="B4" s="20" t="str">
        <x:v>Page role</x:v>
      </x:c>
      <x:c r="C4" s="20" t="str">
        <x:v>Field / Level</x:v>
      </x:c>
      <x:c r="D4" s="20" t="str">
        <x:v>Recommended copy / heading</x:v>
      </x:c>
      <x:c r="E4" s="20" t="str">
        <x:v>Intent owner</x:v>
      </x:c>
      <x:c r="F4" s="20" t="str">
        <x:v>Purpose</x:v>
      </x:c>
      <x:c r="G4" s="20" t="str">
        <x:v>Must cover</x:v>
      </x:c>
      <x:c r="H4" s="20" t="str">
        <x:v>Must avoid</x:v>
      </x:c>
      <x:c r="I4" s="20" t="str">
        <x:v>GEO answer pattern</x:v>
      </x:c>
      <x:c r="J4" s="20" t="str">
        <x:v>CTA placement</x:v>
      </x:c>
      <x:c r="K4" s="20" t="str">
        <x:v>CTA objective</x:v>
      </x:c>
      <x:c r="L4" s="20" t="str">
        <x:v>Internal links</x:v>
      </x:c>
      <x:c r="M4" s="20" t="str">
        <x:v>Source requirement</x:v>
      </x:c>
      <x:c r="N4" s="20" t="str">
        <x:v>Must verify before publish</x:v>
      </x:c>
      <x:c r="O4" s="20" t="str">
        <x:v>Priority</x:v>
      </x:c>
      <x:c r="P4" s="20" t="str">
        <x:v>Publish gate</x:v>
      </x:c>
      <x:c r="Q4" s="20" t="str">
        <x:v>Editor note</x:v>
      </x:c>
    </x:row>
    <x:row r="5">
      <x:c r="A5" s="22" t="str">
        <x:v>L-PILLAR</x:v>
      </x:c>
      <x:c r="B5" s="22" t="str">
        <x:v>Existing pillar</x:v>
      </x:c>
      <x:c r="C5" s="22" t="str">
        <x:v>SEO Title</x:v>
      </x:c>
      <x:c xmlns:x="http://schemas.openxmlformats.org/spreadsheetml/2006/main" r="D5" s="22" t="str">
        <x:v>Hướng dẫn vay tiền mặt Home Credit online</x:v>
      </x:c>
      <x:c r="E5" s="22" t="str">
        <x:v>Transactional loan</x:v>
      </x:c>
      <x:c r="F5" s="22" t="str">
        <x:v>Sở hữu intent vay tiền mặt Home Credit.</x:v>
      </x:c>
      <x:c r="G5" s="22" t="str">
        <x:v>Điều kiện, hạn mức/kỳ hạn, lãi/phí, quy trình, thẩm định.</x:v>
      </x:c>
      <x:c r="H5" s="22" t="str">
        <x:v>Không hứa duyệt 100%, không dùng 'vay chắc chắn'.</x:v>
      </x:c>
      <x:c r="I5" s="22" t="str">
        <x:v>Product → conditions → costs → process → decision.</x:v>
      </x:c>
      <x:c r="J5" s="22" t="str">
        <x:v>SERP</x:v>
      </x:c>
      <x:c r="K5" s="22" t="str">
        <x:v>Apply/check eligibility</x:v>
      </x:c>
      <x:c r="L5" s="22" t="str">
        <x:v>L-NEED, L-RATE, L-REJECT, L-COST, L-PAY, C-PILLAR</x:v>
      </x:c>
      <x:c r="M5" s="22" t="str">
        <x:v>https://dangky.homecredit.vn/vay-tien</x:v>
      </x:c>
      <x:c r="N5" s="22" t="str">
        <x:v>Current product figures + affiliate link</x:v>
      </x:c>
      <x:c r="O5" s="22" t="str">
        <x:v>P0</x:v>
      </x:c>
      <x:c r="P5" s="22" t="str">
        <x:v>Keep existing URL</x:v>
      </x:c>
      <x:c xmlns:x="http://schemas.openxmlformats.org/spreadsheetml/2006/main" r="Q5" s="22" t="str">
        <x:v>Giữ URL và tiêu đề đã được chủ website chốt, có online ở cuối.</x:v>
      </x:c>
    </x:row>
    <x:row r="6">
      <x:c r="A6" s="22" t="str">
        <x:v>L-PILLAR</x:v>
      </x:c>
      <x:c r="B6" s="22" t="str">
        <x:v>Existing pillar</x:v>
      </x:c>
      <x:c r="C6" s="22" t="str">
        <x:v>H1</x:v>
      </x:c>
      <x:c xmlns:x="http://schemas.openxmlformats.org/spreadsheetml/2006/main" r="D6" s="22" t="str">
        <x:v>Hướng dẫn vay tiền mặt Home Credit online</x:v>
      </x:c>
      <x:c r="E6" s="22" t="str">
        <x:v>Transactional + decision</x:v>
      </x:c>
      <x:c r="F6" s="22" t="str">
        <x:v>Kết hợp acquisition với financial clarity.</x:v>
      </x:c>
      <x:c r="G6" s="22" t="str">
        <x:v>Product, Home Credit decision, total cost, CTA.</x:v>
      </x:c>
      <x:c r="H6" s="22" t="str">
        <x:v>Không biến H1 thành claim 'duyệt nhanh chắc chắn'.</x:v>
      </x:c>
      <x:c r="I6" s="22" t="str">
        <x:v>Direct summary + source date.</x:v>
      </x:c>
      <x:c r="J6" s="22" t="str">
        <x:v>Above fold</x:v>
      </x:c>
      <x:c r="K6" s="22" t="str">
        <x:v>Primary loan conversion</x:v>
      </x:c>
      <x:c r="L6" s="22" t="str">
        <x:v>L-RATE, L-COST</x:v>
      </x:c>
      <x:c r="M6" s="22" t="str">
        <x:v>https://dangky.homecredit.vn/vay-tien</x:v>
      </x:c>
      <x:c r="N6" s="22" t="str">
        <x:v>Current application flow</x:v>
      </x:c>
      <x:c r="O6" s="22" t="str">
        <x:v>P0</x:v>
      </x:c>
      <x:c r="P6" s="22" t="str">
        <x:v>Required</x:v>
      </x:c>
      <x:c r="Q6" s="22" t="str">
        <x:v>CTA sau tóm tắt và disclosure.</x:v>
      </x:c>
    </x:row>
    <x:row r="7">
      <x:c r="A7" s="22" t="str">
        <x:v>L-PILLAR</x:v>
      </x:c>
      <x:c r="B7" s="22" t="str">
        <x:v>Existing pillar</x:v>
      </x:c>
      <x:c r="C7" s="22" t="str">
        <x:v>Answer block</x:v>
      </x:c>
      <x:c r="D7" s="22" t="str">
        <x:v>Home Credit cho phép đăng ký khoản vay tiền mặt online và tự thẩm định hồ sơ. Hạn mức, kỳ hạn, lãi suất và thời gian xử lý thực tế phụ thuộc hồ sơ và đề nghị được Home Credit hiển thị; hãy đọc tổng số tiền phải trả và điều khoản trước khi ký.</x:v>
      </x:c>
      <x:c r="E7" s="22" t="str">
        <x:v>Money intent</x:v>
      </x:c>
      <x:c r="F7" s="22" t="str">
        <x:v>Answer immediately without overclaim.</x:v>
      </x:c>
      <x:c r="G7" s="22" t="str">
        <x:v>Online channel; underwriting; costs vary; contract review.</x:v>
      </x:c>
      <x:c r="H7" s="22" t="str">
        <x:v>Không nói 'chỉ CCCD là chắc vay được'.</x:v>
      </x:c>
      <x:c r="I7" s="22" t="str">
        <x:v>2–4 câu độc lập.</x:v>
      </x:c>
      <x:c r="J7" s="22" t="str">
        <x:v>Above fold</x:v>
      </x:c>
      <x:c r="K7" s="22" t="str">
        <x:v>Trust → apply</x:v>
      </x:c>
      <x:c r="L7" s="22" t="str">
        <x:v>L-NEED, L-RATE</x:v>
      </x:c>
      <x:c r="M7" s="22" t="str">
        <x:v>https://dangky.homecredit.vn/vay-tien</x:v>
      </x:c>
      <x:c r="N7" s="22" t="str">
        <x:v>Current wording/terms</x:v>
      </x:c>
      <x:c r="O7" s="22" t="str">
        <x:v>P0</x:v>
      </x:c>
      <x:c r="P7" s="22" t="str">
        <x:v>Required</x:v>
      </x:c>
      <x:c r="Q7" s="22" t="str">
        <x:v>Strong GEO block.</x:v>
      </x:c>
    </x:row>
    <x:row r="8">
      <x:c r="A8" s="22" t="str">
        <x:v>L-PILLAR</x:v>
      </x:c>
      <x:c r="B8" s="22" t="str">
        <x:v>Existing pillar</x:v>
      </x:c>
      <x:c r="C8" s="22" t="str">
        <x:v>H2</x:v>
      </x:c>
      <x:c r="D8" s="22" t="str">
        <x:v>Điều kiện và giấy tờ vay tiền mặt Home Credit</x:v>
      </x:c>
      <x:c r="E8" s="22" t="str">
        <x:v>Eligibility</x:v>
      </x:c>
      <x:c r="F8" s="22" t="str">
        <x:v>Qualification.</x:v>
      </x:c>
      <x:c r="G8" s="22" t="str">
        <x:v>Age/product conditions; CCCD; extra docs may be requested.</x:v>
      </x:c>
      <x:c r="H8" s="22" t="str">
        <x:v>Không guarantee eligibility.</x:v>
      </x:c>
      <x:c r="I8" s="22" t="str">
        <x:v>Checklist + caveat.</x:v>
      </x:c>
      <x:c r="J8" s="22" t="str">
        <x:v>Before CTA 2</x:v>
      </x:c>
      <x:c r="K8" s="22" t="str">
        <x:v>Qualified conversion</x:v>
      </x:c>
      <x:c r="L8" s="22" t="str">
        <x:v>L-NEED</x:v>
      </x:c>
      <x:c r="M8" s="22" t="str">
        <x:v>https://www.homecredit.vn/blog/cap-nhat-hop-dong-cho-vay-tien-mat</x:v>
      </x:c>
      <x:c r="N8" s="22" t="str">
        <x:v>Current age/docs</x:v>
      </x:c>
      <x:c r="O8" s="22" t="str">
        <x:v>P1</x:v>
      </x:c>
      <x:c r="P8" s="22" t="str">
        <x:v>Required</x:v>
      </x:c>
      <x:c r="Q8" s="22" t="str">
        <x:v>Summary, deep-link to L-NEED.</x:v>
      </x:c>
    </x:row>
    <x:row r="9">
      <x:c r="A9" s="22" t="str">
        <x:v>L-PILLAR</x:v>
      </x:c>
      <x:c r="B9" s="22" t="str">
        <x:v>Existing pillar</x:v>
      </x:c>
      <x:c r="C9" s="22" t="str">
        <x:v>H2</x:v>
      </x:c>
      <x:c r="D9" s="22" t="str">
        <x:v>Lãi suất, phí và tổng số tiền phải trả</x:v>
      </x:c>
      <x:c r="E9" s="22" t="str">
        <x:v>Cost</x:v>
      </x:c>
      <x:c r="F9" s="22" t="str">
        <x:v>Financial transparency.</x:v>
      </x:c>
      <x:c r="G9" s="22" t="str">
        <x:v>Flat rate vs declining balance; optional insurance; other possible fees; total payable.</x:v>
      </x:c>
      <x:c r="H9" s="22" t="str">
        <x:v>Không trộn rate conventions; không chỉ show 'từ 0,75%/tháng'.</x:v>
      </x:c>
      <x:c r="I9" s="22" t="str">
        <x:v>Cost table + source/date.</x:v>
      </x:c>
      <x:c r="J9" s="22" t="str">
        <x:v>Before process or after conditions</x:v>
      </x:c>
      <x:c r="K9" s="22" t="str">
        <x:v>Informed conversion</x:v>
      </x:c>
      <x:c r="L9" s="22" t="str">
        <x:v>L-RATE, L-COST</x:v>
      </x:c>
      <x:c r="M9" s="22" t="str">
        <x:v>https://www.homecredit.vn/faq/vay-tien-mat</x:v>
      </x:c>
      <x:c r="N9" s="22" t="str">
        <x:v>Current rates/fees</x:v>
      </x:c>
      <x:c r="O9" s="22" t="str">
        <x:v>P0</x:v>
      </x:c>
      <x:c r="P9" s="22" t="str">
        <x:v>Required</x:v>
      </x:c>
      <x:c r="Q9" s="22" t="str">
        <x:v>Key YMYL section.</x:v>
      </x:c>
    </x:row>
    <x:row r="10">
      <x:c r="A10" s="22" t="str">
        <x:v>L-PILLAR</x:v>
      </x:c>
      <x:c r="B10" s="22" t="str">
        <x:v>Existing pillar</x:v>
      </x:c>
      <x:c r="C10" s="22" t="str">
        <x:v>H2</x:v>
      </x:c>
      <x:c r="D10" s="22" t="str">
        <x:v>Cách đăng ký vay Home Credit online</x:v>
      </x:c>
      <x:c r="E10" s="22" t="str">
        <x:v>How-to</x:v>
      </x:c>
      <x:c r="F10" s="22" t="str">
        <x:v>Task completion.</x:v>
      </x:c>
      <x:c r="G10" s="22" t="str">
        <x:v>Affiliate link → Home Credit → own data → underwriting → offer → contract.</x:v>
      </x:c>
      <x:c r="H10" s="22" t="str">
        <x:v>Không thu OTP/CCCD on 1 Phút Đăng Ký.</x:v>
      </x:c>
      <x:c r="I10" s="22" t="str">
        <x:v>Steps with handoff.</x:v>
      </x:c>
      <x:c r="J10" s="22" t="str">
        <x:v>Mid-page</x:v>
      </x:c>
      <x:c r="K10" s="22" t="str">
        <x:v>Apply</x:v>
      </x:c>
      <x:c r="L10" s="22" t="str">
        <x:v>L-REJECT</x:v>
      </x:c>
      <x:c xmlns:x="http://schemas.openxmlformats.org/spreadsheetml/2006/main" r="M10" s="22" t="str">
        <x:v>https://www.homecredit.vn/blog/huong-dan-dang-ky-vay-qua-ung-dung-clx-ug</x:v>
      </x:c>
      <x:c r="N10" s="22" t="str">
        <x:v>Current flow</x:v>
      </x:c>
      <x:c r="O10" s="22" t="str">
        <x:v>P0</x:v>
      </x:c>
      <x:c r="P10" s="22" t="str">
        <x:v>Required</x:v>
      </x:c>
      <x:c r="Q10" s="22" t="str">
        <x:v>Disclosure near CTA.</x:v>
      </x:c>
    </x:row>
    <x:row r="11">
      <x:c r="A11" s="22" t="str">
        <x:v>L-PILLAR</x:v>
      </x:c>
      <x:c r="B11" s="22" t="str">
        <x:v>Existing pillar</x:v>
      </x:c>
      <x:c r="C11" s="22" t="str">
        <x:v>H2</x:v>
      </x:c>
      <x:c r="D11" s="22" t="str">
        <x:v>Nếu hồ sơ bị từ chối hoặc chưa được giải ngân</x:v>
      </x:c>
      <x:c r="E11" s="22" t="str">
        <x:v>Problem bridge</x:v>
      </x:c>
      <x:c r="F11" s="22" t="str">
        <x:v>Reduce abandonment / route support.</x:v>
      </x:c>
      <x:c r="G11" s="22" t="str">
        <x:v>Rejection; reapply logic; timing; support.</x:v>
      </x:c>
      <x:c r="H11" s="22" t="str">
        <x:v>Không dạy cách lách credit assessment.</x:v>
      </x:c>
      <x:c r="I11" s="22" t="str">
        <x:v>Problem → official next step.</x:v>
      </x:c>
      <x:c r="J11" s="22" t="str">
        <x:v>Lower page</x:v>
      </x:c>
      <x:c r="K11" s="22" t="str">
        <x:v>Support</x:v>
      </x:c>
      <x:c r="L11" s="22" t="str">
        <x:v>L-REJECT, L-TIME</x:v>
      </x:c>
      <x:c r="M11" s="22" t="str">
        <x:v>https://www.homecredit.vn/faq/hop-dong-vay</x:v>
      </x:c>
      <x:c r="N11" s="22" t="str">
        <x:v>Current reapply/support guidance</x:v>
      </x:c>
      <x:c r="O11" s="22" t="str">
        <x:v>P1</x:v>
      </x:c>
      <x:c r="P11" s="22" t="str">
        <x:v>Required</x:v>
      </x:c>
      <x:c r="Q11" s="22" t="str">
        <x:v>Short bridge.</x:v>
      </x:c>
    </x:row>
    <x:row r="12">
      <x:c r="A12" s="22" t="str">
        <x:v>C-PILLAR</x:v>
      </x:c>
      <x:c r="B12" s="22" t="str">
        <x:v>New pillar</x:v>
      </x:c>
      <x:c r="C12" s="22" t="str">
        <x:v>SEO Title</x:v>
      </x:c>
      <x:c xmlns:x="http://schemas.openxmlformats.org/spreadsheetml/2006/main" r="D12" s="22" t="str">
        <x:v>Hướng dẫn mở thẻ tín dụng Home Credit online</x:v>
      </x:c>
      <x:c r="E12" s="22" t="str">
        <x:v>Transactional card</x:v>
      </x:c>
      <x:c r="F12" s="22" t="str">
        <x:v>Sở hữu intent mở thẻ Home Credit.</x:v>
      </x:c>
      <x:c r="G12" s="22" t="str">
        <x:v>Conditions, limits, fees/interest, online flow, billing.</x:v>
      </x:c>
      <x:c r="H12" s="22" t="str">
        <x:v>Không dùng promo cũ hết hạn trong title.</x:v>
      </x:c>
      <x:c r="I12" s="22" t="str">
        <x:v>Product → conditions → costs → lifecycle.</x:v>
      </x:c>
      <x:c r="J12" s="22" t="str">
        <x:v>SERP</x:v>
      </x:c>
      <x:c r="K12" s="22" t="str">
        <x:v>Open card</x:v>
      </x:c>
      <x:c r="L12" s="22" t="str">
        <x:v>C-NEED, C-COST, C-STATEMENT, C-CASH, C-INSTALL</x:v>
      </x:c>
      <x:c r="M12" s="22" t="str">
        <x:v>https://www.homecredit.vn/the-tin-dung-online</x:v>
      </x:c>
      <x:c r="N12" s="22" t="str">
        <x:v>Current tariff + product terms</x:v>
      </x:c>
      <x:c r="O12" s="22" t="str">
        <x:v>P0</x:v>
      </x:c>
      <x:c r="P12" s="22" t="str">
        <x:v>Publish</x:v>
      </x:c>
      <x:c xmlns:x="http://schemas.openxmlformats.org/spreadsheetml/2006/main" r="Q12" s="22" t="str">
        <x:v>Published title-only shared visual. Separate card product; approved generic App OneLink and app-level staffcode00064470; no card-attribution or approval guarantee. Current tariff04Sep2026 and TnC16Jul2026; scope card owner distinct from cash loan.</x:v>
      </x:c>
    </x:row>
    <x:row r="13">
      <x:c r="A13" s="22" t="str">
        <x:v>C-PILLAR</x:v>
      </x:c>
      <x:c r="B13" s="22" t="str">
        <x:v>New pillar</x:v>
      </x:c>
      <x:c r="C13" s="22" t="str">
        <x:v>H1</x:v>
      </x:c>
      <x:c xmlns:x="http://schemas.openxmlformats.org/spreadsheetml/2006/main" r="D13" s="22" t="str">
        <x:v>Hướng dẫn mở thẻ tín dụng Home Credit online</x:v>
      </x:c>
      <x:c r="E13" s="22" t="str">
        <x:v>Transactional + decision</x:v>
      </x:c>
      <x:c r="F13" s="22" t="str">
        <x:v>Cover both application and use.</x:v>
      </x:c>
      <x:c r="G13" s="22" t="str">
        <x:v>Eligibility, approval, limits, card variants, fees, billing, cash withdrawal.</x:v>
      </x:c>
      <x:c r="H13" s="22" t="str">
        <x:v>Không nói hạn mức chắc chắn.</x:v>
      </x:c>
      <x:c r="I13" s="22" t="str">
        <x:v>Answer + decision blocks.</x:v>
      </x:c>
      <x:c r="J13" s="22" t="str">
        <x:v>Above fold</x:v>
      </x:c>
      <x:c r="K13" s="22" t="str">
        <x:v>Primary card conversion</x:v>
      </x:c>
      <x:c r="L13" s="22" t="str">
        <x:v>B-COMPARE</x:v>
      </x:c>
      <x:c r="M13" s="22" t="str">
        <x:v>https://www.homecredit.vn/the-tin-dung-online</x:v>
      </x:c>
      <x:c r="N13" s="22" t="str">
        <x:v>Current product details</x:v>
      </x:c>
      <x:c r="O13" s="22" t="str">
        <x:v>P0</x:v>
      </x:c>
      <x:c r="P13" s="22" t="str">
        <x:v>Publish</x:v>
      </x:c>
      <x:c r="Q13" s="22" t="str">
        <x:v>Follow site's existing card article UI.</x:v>
      </x:c>
    </x:row>
    <x:row r="14">
      <x:c r="A14" s="22" t="str">
        <x:v>C-PILLAR</x:v>
      </x:c>
      <x:c r="B14" s="22" t="str">
        <x:v>New pillar</x:v>
      </x:c>
      <x:c r="C14" s="22" t="str">
        <x:v>Answer block</x:v>
      </x:c>
      <x:c xmlns:x="http://schemas.openxmlformats.org/spreadsheetml/2006/main" r="D14" s="22" t="str">
        <x:v>Bạn có thể đăng ký thẻ tín dụng qua ứng dụng Home Credit. Home Credit thẩm định hồ sơ và quyết định cấp thẻ, hạn mức. Trước khi ký, kiểm tra đúng loại thẻ, phí quản lý, lãi suất và nghĩa vụ thanh toán; miễn phí thường niên không có nghĩa mọi chi phí sử dụng đều bằng 0.</x:v>
      </x:c>
      <x:c r="E14" s="22" t="str">
        <x:v>Card intent</x:v>
      </x:c>
      <x:c r="F14" s="22" t="str">
        <x:v>Direct answer.</x:v>
      </x:c>
      <x:c r="G14" s="22" t="str">
        <x:v>Online, underwriting, cost/lifecycle.</x:v>
      </x:c>
      <x:c r="H14" s="22" t="str">
        <x:v>Không promise approval.</x:v>
      </x:c>
      <x:c r="I14" s="22" t="str">
        <x:v>2–4 sentences.</x:v>
      </x:c>
      <x:c r="J14" s="22" t="str">
        <x:v>Above fold</x:v>
      </x:c>
      <x:c r="K14" s="22" t="str">
        <x:v>Trust → card apply</x:v>
      </x:c>
      <x:c r="L14" s="22" t="str">
        <x:v>C-COST, C-STATEMENT</x:v>
      </x:c>
      <x:c r="M14" s="22" t="str">
        <x:v>https://www.homecredit.vn/the-tin-dung-online</x:v>
      </x:c>
      <x:c r="N14" s="22" t="str">
        <x:v>Current product/tariff</x:v>
      </x:c>
      <x:c r="O14" s="22" t="str">
        <x:v>P0</x:v>
      </x:c>
      <x:c r="P14" s="22" t="str">
        <x:v>Required</x:v>
      </x:c>
      <x:c r="Q14" s="22" t="str">
        <x:v>Good GEO block.</x:v>
      </x:c>
    </x:row>
    <x:row r="15">
      <x:c r="A15" s="22" t="str">
        <x:v>C-PILLAR</x:v>
      </x:c>
      <x:c r="B15" s="22" t="str">
        <x:v>New pillar</x:v>
      </x:c>
      <x:c r="C15" s="22" t="str">
        <x:v>H2</x:v>
      </x:c>
      <x:c r="D15" s="22" t="str">
        <x:v>Điều kiện mở thẻ tín dụng Home Credit</x:v>
      </x:c>
      <x:c r="E15" s="22" t="str">
        <x:v>Eligibility</x:v>
      </x:c>
      <x:c r="F15" s="22" t="str">
        <x:v>Qualification.</x:v>
      </x:c>
      <x:c r="G15" s="22" t="str">
        <x:v>20–60 current published product age; nationality/residence; valid ID; income-proof statement if current.</x:v>
      </x:c>
      <x:c r="H15" s="22" t="str">
        <x:v>Không claim approval.</x:v>
      </x:c>
      <x:c r="I15" s="22" t="str">
        <x:v>Checklist.</x:v>
      </x:c>
      <x:c r="J15" s="22" t="str">
        <x:v>Pre-CTA</x:v>
      </x:c>
      <x:c r="K15" s="22" t="str">
        <x:v>Qualified card conversion</x:v>
      </x:c>
      <x:c r="L15" s="22" t="str">
        <x:v>C-NEED</x:v>
      </x:c>
      <x:c r="M15" s="22" t="str">
        <x:v>https://www.homecredit.vn/the-tin-dung-online</x:v>
      </x:c>
      <x:c r="N15" s="22" t="str">
        <x:v>Current eligibility</x:v>
      </x:c>
      <x:c r="O15" s="22" t="str">
        <x:v>P1</x:v>
      </x:c>
      <x:c r="P15" s="22" t="str">
        <x:v>Required</x:v>
      </x:c>
      <x:c r="Q15" s="22" t="str">
        <x:v>Use current official source.</x:v>
      </x:c>
    </x:row>
    <x:row r="16">
      <x:c r="A16" s="22" t="str">
        <x:v>C-PILLAR</x:v>
      </x:c>
      <x:c r="B16" s="22" t="str">
        <x:v>New pillar</x:v>
      </x:c>
      <x:c r="C16" s="22" t="str">
        <x:v>H2</x:v>
      </x:c>
      <x:c r="D16" s="22" t="str">
        <x:v>Phí, lãi suất và hạn mức thẻ Home Credit</x:v>
      </x:c>
      <x:c r="E16" s="22" t="str">
        <x:v>Cost</x:v>
      </x:c>
      <x:c r="F16" s="22" t="str">
        <x:v>Transparency.</x:v>
      </x:c>
      <x:c r="G16" s="22" t="str">
        <x:v>Latest tariff only; card types; management fee; interest; withdrawal/installment costs.</x:v>
      </x:c>
      <x:c r="H16" s="22" t="str">
        <x:v>Không reuse old 2025/early-2026 tariff if newer exists.</x:v>
      </x:c>
      <x:c r="I16" s="22" t="str">
        <x:v>Dynamic table + checked date.</x:v>
      </x:c>
      <x:c r="J16" s="22" t="str">
        <x:v>Before how-to or after eligibility</x:v>
      </x:c>
      <x:c r="K16" s="22" t="str">
        <x:v>Informed card conversion</x:v>
      </x:c>
      <x:c r="L16" s="22" t="str">
        <x:v>C-COST, C-CASH, C-INSTALL</x:v>
      </x:c>
      <x:c r="M16" s="22" t="str">
        <x:v>https://www.homecredit.vn/tra-cuu-mau-hop-dong</x:v>
      </x:c>
      <x:c r="N16" s="22" t="str">
        <x:v>Latest effective tariff</x:v>
      </x:c>
      <x:c r="O16" s="22" t="str">
        <x:v>P0</x:v>
      </x:c>
      <x:c r="P16" s="22" t="str">
        <x:v>Required</x:v>
      </x:c>
      <x:c r="Q16" s="22" t="str">
        <x:v>High volatility.</x:v>
      </x:c>
    </x:row>
    <x:row r="17">
      <x:c r="A17" s="22" t="str">
        <x:v>C-PILLAR</x:v>
      </x:c>
      <x:c r="B17" s="22" t="str">
        <x:v>New pillar</x:v>
      </x:c>
      <x:c r="C17" s="22" t="str">
        <x:v>H2</x:v>
      </x:c>
      <x:c r="D17" s="22" t="str">
        <x:v>Cách đăng ký và nhận kết quả thẩm định</x:v>
      </x:c>
      <x:c r="E17" s="22" t="str">
        <x:v>How-to</x:v>
      </x:c>
      <x:c r="F17" s="22" t="str">
        <x:v>Task completion.</x:v>
      </x:c>
      <x:c r="G17" s="22" t="str">
        <x:v>Open official/affiliate link, submit own info, verify, receive decision.</x:v>
      </x:c>
      <x:c r="H17" s="22" t="str">
        <x:v>Không collect credentials on site.</x:v>
      </x:c>
      <x:c r="I17" s="22" t="str">
        <x:v>Steps.</x:v>
      </x:c>
      <x:c r="J17" s="22" t="str">
        <x:v>Mid-page</x:v>
      </x:c>
      <x:c r="K17" s="22" t="str">
        <x:v>Apply</x:v>
      </x:c>
      <x:c r="L17" s="22" t="str">
        <x:v>C-NEED</x:v>
      </x:c>
      <x:c r="M17" s="22" t="str">
        <x:v>https://www.homecredit.vn/the-tin-dung-online</x:v>
      </x:c>
      <x:c r="N17" s="22" t="str">
        <x:v>Current flow</x:v>
      </x:c>
      <x:c r="O17" s="22" t="str">
        <x:v>P0</x:v>
      </x:c>
      <x:c r="P17" s="22" t="str">
        <x:v>Required</x:v>
      </x:c>
      <x:c r="Q17" s="22" t="str">
        <x:v>Disclosure near CTA.</x:v>
      </x:c>
    </x:row>
    <x:row r="18">
      <x:c r="A18" s="22" t="str">
        <x:v>C-PILLAR</x:v>
      </x:c>
      <x:c r="B18" s="22" t="str">
        <x:v>New pillar</x:v>
      </x:c>
      <x:c r="C18" s="22" t="str">
        <x:v>H2</x:v>
      </x:c>
      <x:c r="D18" s="22" t="str">
        <x:v>Sau khi được cấp thẻ: kích hoạt, sao kê và thanh toán</x:v>
      </x:c>
      <x:c r="E18" s="22" t="str">
        <x:v>Lifecycle</x:v>
      </x:c>
      <x:c r="F18" s="22" t="str">
        <x:v>Connect to post-approval supports.</x:v>
      </x:c>
      <x:c r="G18" s="22" t="str">
        <x:v>Activation; statement; due date; minimum payment; full payment.</x:v>
      </x:c>
      <x:c r="H18" s="22" t="str">
        <x:v>Không encourage minimum payment as default habit.</x:v>
      </x:c>
      <x:c r="I18" s="22" t="str">
        <x:v>Lifecycle table.</x:v>
      </x:c>
      <x:c r="J18" s="22" t="str">
        <x:v>Lower page</x:v>
      </x:c>
      <x:c r="K18" s="22" t="str">
        <x:v>Retention / safety</x:v>
      </x:c>
      <x:c r="L18" s="22" t="str">
        <x:v>C-ACTIVATE, C-STATEMENT</x:v>
      </x:c>
      <x:c r="M18" s="22" t="str">
        <x:v>https://www.homecredit.vn/faq/the-tin-dung</x:v>
      </x:c>
      <x:c r="N18" s="22" t="str">
        <x:v>Current billing rules</x:v>
      </x:c>
      <x:c r="O18" s="22" t="str">
        <x:v>P1</x:v>
      </x:c>
      <x:c r="P18" s="22" t="str">
        <x:v>Required</x:v>
      </x:c>
      <x:c r="Q18" s="22" t="str">
        <x:v>Support-oriented.</x:v>
      </x:c>
    </x:row>
    <x:row r="19">
      <x:c r="A19" s="22" t="str">
        <x:v>L-RATE</x:v>
      </x:c>
      <x:c r="B19" s="22" t="str">
        <x:v>Support</x:v>
      </x:c>
      <x:c r="C19" s="22" t="str">
        <x:v>SEO Title</x:v>
      </x:c>
      <x:c r="D19" s="22" t="str">
        <x:v>Lãi suất vay tiền mặt Home Credit: Cách đọc lãi và tổng tiền phải trả</x:v>
      </x:c>
      <x:c r="E19" s="22" t="str">
        <x:v>Loan cost</x:v>
      </x:c>
      <x:c r="F19" s="22" t="str">
        <x:v>Own rate intent.</x:v>
      </x:c>
      <x:c r="G19" s="22" t="str">
        <x:v>Flat vs declining-balance, example, total payment.</x:v>
      </x:c>
      <x:c r="H19" s="22" t="str">
        <x:v>Không so sánh 0.75%/tháng với annual reducing balance as equivalent.</x:v>
      </x:c>
      <x:c r="I19" s="22" t="str">
        <x:v>Definition → example → contract check.</x:v>
      </x:c>
      <x:c r="J19" s="22" t="str">
        <x:v>SERP</x:v>
      </x:c>
      <x:c r="K19" s="22" t="str">
        <x:v>Return to loan pillar</x:v>
      </x:c>
      <x:c r="L19" s="22" t="str">
        <x:v>L-PILLAR, L-COST</x:v>
      </x:c>
      <x:c r="M19" s="22" t="str">
        <x:v>https://www.homecredit.vn/faq/vay-tien-mat</x:v>
      </x:c>
      <x:c r="N19" s="22" t="str">
        <x:v>Current rate pages + example</x:v>
      </x:c>
      <x:c r="O19" s="22" t="str">
        <x:v>P0</x:v>
      </x:c>
      <x:c r="P19" s="22" t="str">
        <x:v>Publish</x:v>
      </x:c>
      <x:c r="Q19" s="22" t="str">
        <x:v>Educational YMYL.</x:v>
      </x:c>
    </x:row>
    <x:row r="20">
      <x:c r="A20" s="22" t="str">
        <x:v>L-RATE</x:v>
      </x:c>
      <x:c r="B20" s="22" t="str">
        <x:v>Support</x:v>
      </x:c>
      <x:c r="C20" s="22" t="str">
        <x:v>Outline</x:v>
      </x:c>
      <x:c r="D20" s="22" t="str">
        <x:v>H2: Home Credit công bố lãi theo những cách nào? → H2: Lãi suất phẳng là gì? → H2: Dư nợ giảm dần là gì? → H2: Vì sao cần nhìn tổng tiền phải trả? → H2: Kiểm tra ở đâu trước khi ký?</x:v>
      </x:c>
      <x:c r="E20" s="22" t="str">
        <x:v>Cost education</x:v>
      </x:c>
      <x:c r="F20" s="22" t="str">
        <x:v>Prevent misleading rate interpretation.</x:v>
      </x:c>
      <x:c r="G20" s="22" t="str">
        <x:v>Source dates and examples.</x:v>
      </x:c>
      <x:c r="H20" s="22" t="str">
        <x:v>Không tự calculate without source/formula.</x:v>
      </x:c>
      <x:c r="I20" s="22" t="str">
        <x:v>Concept → source → decision.</x:v>
      </x:c>
      <x:c r="J20" s="22" t="str">
        <x:v>End</x:v>
      </x:c>
      <x:c r="K20" s="22" t="str">
        <x:v>Informed apply</x:v>
      </x:c>
      <x:c r="L20" s="22" t="str">
        <x:v>L-PILLAR</x:v>
      </x:c>
      <x:c r="M20" s="22" t="str">
        <x:v>https://www.homecredit.vn/faq/vay-tien-mat</x:v>
      </x:c>
      <x:c r="N20" s="22" t="str">
        <x:v>Current rate convention</x:v>
      </x:c>
      <x:c r="O20" s="22" t="str">
        <x:v>P0</x:v>
      </x:c>
      <x:c r="P20" s="22" t="str">
        <x:v>Publish</x:v>
      </x:c>
      <x:c r="Q20" s="22" t="str">
        <x:v>Strong GEO utility.</x:v>
      </x:c>
    </x:row>
    <x:row r="21">
      <x:c r="A21" s="22" t="str">
        <x:v>L-REJECT</x:v>
      </x:c>
      <x:c r="B21" s="22" t="str">
        <x:v>Support</x:v>
      </x:c>
      <x:c r="C21" s="22" t="str">
        <x:v>SEO Title</x:v>
      </x:c>
      <x:c r="D21" s="22" t="str">
        <x:v>Hồ sơ vay Home Credit bị từ chối: Vì sao và khi nào có thể đăng ký lại?</x:v>
      </x:c>
      <x:c r="E21" s="22" t="str">
        <x:v>Troubleshooting</x:v>
      </x:c>
      <x:c r="F21" s="22" t="str">
        <x:v>Own rejection intent.</x:v>
      </x:c>
      <x:c r="G21" s="22" t="str">
        <x:v>Automated assessment factors; official next steps; reapply timing depends current guidance.</x:v>
      </x:c>
      <x:c r="H21" s="22" t="str">
        <x:v>Không offer 'tips to bypass CIC/scoring'.</x:v>
      </x:c>
      <x:c r="I21" s="22" t="str">
        <x:v>Reason categories → official next action.</x:v>
      </x:c>
      <x:c r="J21" s="22" t="str">
        <x:v>SERP</x:v>
      </x:c>
      <x:c r="K21" s="22" t="str">
        <x:v>Support / later return</x:v>
      </x:c>
      <x:c r="L21" s="22" t="str">
        <x:v>L-PILLAR</x:v>
      </x:c>
      <x:c r="M21" s="22" t="str">
        <x:v>https://www.homecredit.vn/faq/hop-dong-vay</x:v>
      </x:c>
      <x:c r="N21" s="22" t="str">
        <x:v>Current reapply guidance</x:v>
      </x:c>
      <x:c r="O21" s="22" t="str">
        <x:v>P0</x:v>
      </x:c>
      <x:c r="P21" s="22" t="str">
        <x:v>Publish</x:v>
      </x:c>
      <x:c r="Q21" s="22" t="str">
        <x:v>Safe, factual.</x:v>
      </x:c>
    </x:row>
    <x:row r="22">
      <x:c r="A22" s="22" t="str">
        <x:v>L-COST</x:v>
      </x:c>
      <x:c r="B22" s="22" t="str">
        <x:v>Support</x:v>
      </x:c>
      <x:c r="C22" s="22" t="str">
        <x:v>SEO Title</x:v>
      </x:c>
      <x:c r="D22" s="22" t="str">
        <x:v>Vay Home Credit có phí gì? Bảo hiểm và tất toán trước hạn cần kiểm tra</x:v>
      </x:c>
      <x:c r="E22" s="22" t="str">
        <x:v>Cost</x:v>
      </x:c>
      <x:c r="F22" s="22" t="str">
        <x:v>Own fees intent.</x:v>
      </x:c>
      <x:c r="G22" s="22" t="str">
        <x:v>Optional insurance; transfer fee; early-repayment fee if applicable; total cost.</x:v>
      </x:c>
      <x:c r="H22" s="22" t="str">
        <x:v>Không say all fees apply to everyone.</x:v>
      </x:c>
      <x:c r="I22" s="22" t="str">
        <x:v>Fee type → when it applies → where to verify.</x:v>
      </x:c>
      <x:c r="J22" s="22" t="str">
        <x:v>SERP</x:v>
      </x:c>
      <x:c r="K22" s="22" t="str">
        <x:v>Informed apply</x:v>
      </x:c>
      <x:c r="L22" s="22" t="str">
        <x:v>L-PILLAR, L-RATE</x:v>
      </x:c>
      <x:c r="M22" s="22" t="str">
        <x:v>https://dangky.homecredit.vn/vay-tien</x:v>
      </x:c>
      <x:c r="N22" s="22" t="str">
        <x:v>Latest contract/fee docs</x:v>
      </x:c>
      <x:c r="O22" s="22" t="str">
        <x:v>P0</x:v>
      </x:c>
      <x:c r="P22" s="22" t="str">
        <x:v>Publish</x:v>
      </x:c>
      <x:c r="Q22" s="22" t="str">
        <x:v>High-value trust content.</x:v>
      </x:c>
    </x:row>
    <x:row r="23">
      <x:c r="A23" s="22" t="str">
        <x:v>L-NEED</x:v>
      </x:c>
      <x:c r="B23" s="22" t="str">
        <x:v>Support</x:v>
      </x:c>
      <x:c r="C23" s="22" t="str">
        <x:v>SEO Title</x:v>
      </x:c>
      <x:c r="D23" s="22" t="str">
        <x:v>Vay Home Credit cần gì? Điều kiện, CCCD và hồ sơ cần chuẩn bị</x:v>
      </x:c>
      <x:c r="E23" s="22" t="str">
        <x:v>Eligibility</x:v>
      </x:c>
      <x:c r="F23" s="22" t="str">
        <x:v>Own preparation intent.</x:v>
      </x:c>
      <x:c r="G23" s="22" t="str">
        <x:v>Age; ID; possible extra salary statement for higher amount; exact info.</x:v>
      </x:c>
      <x:c r="H23" s="22" t="str">
        <x:v>Không imply docs guarantee approval.</x:v>
      </x:c>
      <x:c r="I23" s="22" t="str">
        <x:v>Checklist.</x:v>
      </x:c>
      <x:c r="J23" s="22" t="str">
        <x:v>SERP</x:v>
      </x:c>
      <x:c r="K23" s="22" t="str">
        <x:v>Qualified apply</x:v>
      </x:c>
      <x:c r="L23" s="22" t="str">
        <x:v>L-PILLAR</x:v>
      </x:c>
      <x:c r="M23" s="22" t="str">
        <x:v>https://www.homecredit.vn/blog/cap-nhat-hop-dong-cho-vay-tien-mat</x:v>
      </x:c>
      <x:c r="N23" s="22" t="str">
        <x:v>Current criteria</x:v>
      </x:c>
      <x:c r="O23" s="22" t="str">
        <x:v>P1</x:v>
      </x:c>
      <x:c r="P23" s="22" t="str">
        <x:v>Publish</x:v>
      </x:c>
      <x:c r="Q23" s="22" t="str">
        <x:v>Qualification.</x:v>
      </x:c>
    </x:row>
    <x:row r="24">
      <x:c r="A24" s="22" t="str">
        <x:v>L-TIME</x:v>
      </x:c>
      <x:c r="B24" s="22" t="str">
        <x:v>Support</x:v>
      </x:c>
      <x:c r="C24" s="22" t="str">
        <x:v>SEO Title</x:v>
      </x:c>
      <x:c r="D24" s="22" t="str">
        <x:v>Home Credit duyệt hồ sơ và giải ngân bao lâu?</x:v>
      </x:c>
      <x:c r="E24" s="22" t="str">
        <x:v>Timing</x:v>
      </x:c>
      <x:c r="F24" s="22" t="str">
        <x:v>Own timing question if SERP distinct.</x:v>
      </x:c>
      <x:c r="G24" s="22" t="str">
        <x:v>Official advertised time + factors that can delay.</x:v>
      </x:c>
      <x:c r="H24" s="22" t="str">
        <x:v>Không guarantee 3/10 minutes universally.</x:v>
      </x:c>
      <x:c r="I24" s="22" t="str">
        <x:v>Advertised time → caveat → status check.</x:v>
      </x:c>
      <x:c r="J24" s="22" t="str">
        <x:v>SERP</x:v>
      </x:c>
      <x:c r="K24" s="22" t="str">
        <x:v>Apply / support</x:v>
      </x:c>
      <x:c r="L24" s="22" t="str">
        <x:v>L-PILLAR, L-REJECT</x:v>
      </x:c>
      <x:c r="M24" s="22" t="str">
        <x:v>https://dangky.homecredit.vn/vay-tien</x:v>
      </x:c>
      <x:c r="N24" s="22" t="str">
        <x:v>Current service claims</x:v>
      </x:c>
      <x:c r="O24" s="22" t="str">
        <x:v>P1</x:v>
      </x:c>
      <x:c r="P24" s="22" t="str">
        <x:v>Conditional</x:v>
      </x:c>
      <x:c r="Q24" s="22" t="str">
        <x:v>Could remain FAQ if thin.</x:v>
      </x:c>
    </x:row>
    <x:row r="25">
      <x:c r="A25" s="22" t="str">
        <x:v>L-PAY</x:v>
      </x:c>
      <x:c r="B25" s="22" t="str">
        <x:v>Support</x:v>
      </x:c>
      <x:c r="C25" s="22" t="str">
        <x:v>SEO Title</x:v>
      </x:c>
      <x:c r="D25" s="22" t="str">
        <x:v>Cách thanh toán khoản vay Home Credit và kiểm tra số tiền đến hạn</x:v>
      </x:c>
      <x:c r="E25" s="22" t="str">
        <x:v>Servicing</x:v>
      </x:c>
      <x:c r="F25" s="22" t="str">
        <x:v>Own payment intent.</x:v>
      </x:c>
      <x:c r="G25" s="22" t="str">
        <x:v>App, supported payment methods, contract management, overdue handling.</x:v>
      </x:c>
      <x:c r="H25" s="22" t="str">
        <x:v>Không encourage late payment.</x:v>
      </x:c>
      <x:c r="I25" s="22" t="str">
        <x:v>How-to → verify result → support.</x:v>
      </x:c>
      <x:c r="J25" s="22" t="str">
        <x:v>SERP</x:v>
      </x:c>
      <x:c r="K25" s="22" t="str">
        <x:v>Support only</x:v>
      </x:c>
      <x:c r="L25" s="22" t="str">
        <x:v>L-PILLAR</x:v>
      </x:c>
      <x:c r="M25" s="22" t="str">
        <x:v>https://www.homecredit.vn/faq/ung-dung-home-credit</x:v>
      </x:c>
      <x:c r="N25" s="22" t="str">
        <x:v>Current payment channels</x:v>
      </x:c>
      <x:c r="O25" s="22" t="str">
        <x:v>P1</x:v>
      </x:c>
      <x:c r="P25" s="22" t="str">
        <x:v>Publish</x:v>
      </x:c>
      <x:c r="Q25" s="22" t="str">
        <x:v>Post-action, low affiliate pressure.</x:v>
      </x:c>
    </x:row>
    <x:row r="26">
      <x:c r="A26" s="22" t="str">
        <x:v>C-NEED</x:v>
      </x:c>
      <x:c r="B26" s="22" t="str">
        <x:v>Support</x:v>
      </x:c>
      <x:c r="C26" s="22" t="str">
        <x:v>SEO Title</x:v>
      </x:c>
      <x:c r="D26" s="22" t="str">
        <x:v>Điều kiện mở thẻ tín dụng Home Credit: Tuổi, CCCD và hồ sơ</x:v>
      </x:c>
      <x:c r="E26" s="22" t="str">
        <x:v>Eligibility</x:v>
      </x:c>
      <x:c r="F26" s="22" t="str">
        <x:v>Own qualification intent.</x:v>
      </x:c>
      <x:c r="G26" s="22" t="str">
        <x:v>Published 20–60; ID; residency; no proof-of-income claim if still current; underwriting.</x:v>
      </x:c>
      <x:c r="H26" s="22" t="str">
        <x:v>Không say 'ai cũng mở được'.</x:v>
      </x:c>
      <x:c r="I26" s="22" t="str">
        <x:v>Checklist + approval caveat.</x:v>
      </x:c>
      <x:c r="J26" s="22" t="str">
        <x:v>SERP</x:v>
      </x:c>
      <x:c r="K26" s="22" t="str">
        <x:v>Qualified card apply</x:v>
      </x:c>
      <x:c r="L26" s="22" t="str">
        <x:v>C-PILLAR</x:v>
      </x:c>
      <x:c r="M26" s="22" t="str">
        <x:v>https://www.homecredit.vn/the-tin-dung-online</x:v>
      </x:c>
      <x:c r="N26" s="22" t="str">
        <x:v>Current eligibility</x:v>
      </x:c>
      <x:c r="O26" s="22" t="str">
        <x:v>P1</x:v>
      </x:c>
      <x:c r="P26" s="22" t="str">
        <x:v>Publish</x:v>
      </x:c>
      <x:c r="Q26" s="22" t="str">
        <x:v>Strong pre-action.</x:v>
      </x:c>
    </x:row>
    <x:row r="27">
      <x:c r="A27" s="22" t="str">
        <x:v>C-COST</x:v>
      </x:c>
      <x:c r="B27" s="22" t="str">
        <x:v>Support</x:v>
      </x:c>
      <x:c r="C27" s="22" t="str">
        <x:v>SEO Title</x:v>
      </x:c>
      <x:c r="D27" s="22" t="str">
        <x:v>Phí và lãi suất thẻ tín dụng Home Credit: Cách đọc biểu phí hiện hành</x:v>
      </x:c>
      <x:c r="E27" s="22" t="str">
        <x:v>Card cost</x:v>
      </x:c>
      <x:c r="F27" s="22" t="str">
        <x:v>Own cost intent.</x:v>
      </x:c>
      <x:c r="G27" s="22" t="str">
        <x:v>Latest tariff date; management fee; interest; withdrawal/installment/late-payment costs by card type.</x:v>
      </x:c>
      <x:c r="H27" s="22" t="str">
        <x:v>Không hardcode older tariff without latest check.</x:v>
      </x:c>
      <x:c r="I27" s="22" t="str">
        <x:v>Fee table + effective date.</x:v>
      </x:c>
      <x:c r="J27" s="22" t="str">
        <x:v>SERP</x:v>
      </x:c>
      <x:c r="K27" s="22" t="str">
        <x:v>Informed card apply</x:v>
      </x:c>
      <x:c r="L27" s="22" t="str">
        <x:v>C-PILLAR, C-CASH, C-INSTALL</x:v>
      </x:c>
      <x:c r="M27" s="22" t="str">
        <x:v>https://www.homecredit.vn/tra-cuu-mau-hop-dong</x:v>
      </x:c>
      <x:c r="N27" s="22" t="str">
        <x:v>Latest 04/09/2026 tariff linked on lookup page</x:v>
      </x:c>
      <x:c r="O27" s="22" t="str">
        <x:v>P0</x:v>
      </x:c>
      <x:c r="P27" s="22" t="str">
        <x:v>Publish</x:v>
      </x:c>
      <x:c r="Q27" s="22" t="str">
        <x:v>Dynamic/high-volatility.</x:v>
      </x:c>
    </x:row>
    <x:row r="28">
      <x:c r="A28" s="22" t="str">
        <x:v>C-STATEMENT</x:v>
      </x:c>
      <x:c r="B28" s="22" t="str">
        <x:v>Support</x:v>
      </x:c>
      <x:c r="C28" s="22" t="str">
        <x:v>SEO Title</x:v>
      </x:c>
      <x:c r="D28" s="22" t="str">
        <x:v>Sao kê, ngày đến hạn và thanh toán tối thiểu thẻ Home Credit</x:v>
      </x:c>
      <x:c r="E28" s="22" t="str">
        <x:v>Billing</x:v>
      </x:c>
      <x:c r="F28" s="22" t="str">
        <x:v>Own servicing intent.</x:v>
      </x:c>
      <x:c r="G28" s="22" t="str">
        <x:v>Statement, due date, minimum payment formula/current values, full-payment implications.</x:v>
      </x:c>
      <x:c r="H28" s="22" t="str">
        <x:v>Không present minimum payment as cost-free.</x:v>
      </x:c>
      <x:c r="I28" s="22" t="str">
        <x:v>Term → current rule → example-free unless verified.</x:v>
      </x:c>
      <x:c r="J28" s="22" t="str">
        <x:v>SERP</x:v>
      </x:c>
      <x:c r="K28" s="22" t="str">
        <x:v>Support</x:v>
      </x:c>
      <x:c r="L28" s="22" t="str">
        <x:v>C-PILLAR</x:v>
      </x:c>
      <x:c r="M28" s="22" t="str">
        <x:v>https://www.homecredit.vn/faq/the-tin-dung</x:v>
      </x:c>
      <x:c r="N28" s="22" t="str">
        <x:v>Current minimum payment + due date</x:v>
      </x:c>
      <x:c r="O28" s="22" t="str">
        <x:v>P1</x:v>
      </x:c>
      <x:c r="P28" s="22" t="str">
        <x:v>Publish</x:v>
      </x:c>
      <x:c r="Q28" s="22" t="str">
        <x:v>Post-approval trust.</x:v>
      </x:c>
    </x:row>
    <x:row r="29">
      <x:c r="A29" s="22" t="str">
        <x:v>C-ACTIVATE</x:v>
      </x:c>
      <x:c r="B29" s="22" t="str">
        <x:v>Support</x:v>
      </x:c>
      <x:c r="C29" s="22" t="str">
        <x:v>SEO Title</x:v>
      </x:c>
      <x:c r="D29" s="22" t="str">
        <x:v>Cách kích hoạt thẻ tín dụng Home Credit trên ứng dụng hoặc hotline</x:v>
      </x:c>
      <x:c r="E29" s="22" t="str">
        <x:v>Activation</x:v>
      </x:c>
      <x:c r="F29" s="22" t="str">
        <x:v>Own activation intent if sufficient.</x:v>
      </x:c>
      <x:c r="G29" s="22" t="str">
        <x:v>Current app/hotline steps; use registered phone.</x:v>
      </x:c>
      <x:c r="H29" s="22" t="str">
        <x:v>Không request OTP/PIN on site.</x:v>
      </x:c>
      <x:c r="I29" s="22" t="str">
        <x:v>Method → steps → support.</x:v>
      </x:c>
      <x:c r="J29" s="22" t="str">
        <x:v>SERP</x:v>
      </x:c>
      <x:c r="K29" s="22" t="str">
        <x:v>Support</x:v>
      </x:c>
      <x:c r="L29" s="22" t="str">
        <x:v>C-PILLAR</x:v>
      </x:c>
      <x:c r="M29" s="22" t="str">
        <x:v>https://www.homecredit.vn/faq/the-tin-dung</x:v>
      </x:c>
      <x:c r="N29" s="22" t="str">
        <x:v>Current activation methods</x:v>
      </x:c>
      <x:c r="O29" s="22" t="str">
        <x:v>P1</x:v>
      </x:c>
      <x:c r="P29" s="22" t="str">
        <x:v>Conditional</x:v>
      </x:c>
      <x:c r="Q29" s="22" t="str">
        <x:v>Could be section.</x:v>
      </x:c>
    </x:row>
    <x:row r="30">
      <x:c r="A30" s="22" t="str">
        <x:v>C-CASH</x:v>
      </x:c>
      <x:c r="B30" s="22" t="str">
        <x:v>Support</x:v>
      </x:c>
      <x:c r="C30" s="22" t="str">
        <x:v>SEO Title</x:v>
      </x:c>
      <x:c r="D30" s="22" t="str">
        <x:v>Rút tiền mặt từ thẻ tín dụng Home Credit: Phí, lãi và hạn mức cần biết</x:v>
      </x:c>
      <x:c r="E30" s="22" t="str">
        <x:v>Cash advance</x:v>
      </x:c>
      <x:c r="F30" s="22" t="str">
        <x:v>Own high-cost intent.</x:v>
      </x:c>
      <x:c r="G30" s="22" t="str">
        <x:v>ATM eligibility; latest fee by card type; interest starts immediately if current; PIN.</x:v>
      </x:c>
      <x:c r="H30" s="22" t="str">
        <x:v>Không frame as cheap borrowing substitute.</x:v>
      </x:c>
      <x:c r="I30" s="22" t="str">
        <x:v>Cost-first answer.</x:v>
      </x:c>
      <x:c r="J30" s="22" t="str">
        <x:v>SERP</x:v>
      </x:c>
      <x:c r="K30" s="22" t="str">
        <x:v>Support / product education</x:v>
      </x:c>
      <x:c r="L30" s="22" t="str">
        <x:v>C-PILLAR, B-COMPARE</x:v>
      </x:c>
      <x:c r="M30" s="22" t="str">
        <x:v>https://www.homecredit.vn/faq/the-tin-dung</x:v>
      </x:c>
      <x:c r="N30" s="22" t="str">
        <x:v>Latest tariff + card type rules</x:v>
      </x:c>
      <x:c r="O30" s="22" t="str">
        <x:v>P0</x:v>
      </x:c>
      <x:c r="P30" s="22" t="str">
        <x:v>Publish</x:v>
      </x:c>
      <x:c r="Q30" s="22" t="str">
        <x:v>High-value safety.</x:v>
      </x:c>
    </x:row>
    <x:row r="31">
      <x:c r="A31" s="22" t="str">
        <x:v>C-INSTALL</x:v>
      </x:c>
      <x:c r="B31" s="22" t="str">
        <x:v>Support</x:v>
      </x:c>
      <x:c r="C31" s="22" t="str">
        <x:v>SEO Title</x:v>
      </x:c>
      <x:c r="D31" s="22" t="str">
        <x:v>Trả góp thẻ tín dụng Home Credit: Điều kiện, phí và kỳ hạn</x:v>
      </x:c>
      <x:c r="E31" s="22" t="str">
        <x:v>Installment</x:v>
      </x:c>
      <x:c r="F31" s="22" t="str">
        <x:v>Own installment intent.</x:v>
      </x:c>
      <x:c r="G31" s="22" t="str">
        <x:v>Latest Sep 2026 terms; eligible transaction types; fees/rates; cancellation if relevant.</x:v>
      </x:c>
      <x:c r="H31" s="22" t="str">
        <x:v>Không reuse old 0% wording without current terms.</x:v>
      </x:c>
      <x:c r="I31" s="22" t="str">
        <x:v>Eligibility → cost → steps → source.</x:v>
      </x:c>
      <x:c r="J31" s="22" t="str">
        <x:v>SERP</x:v>
      </x:c>
      <x:c r="K31" s="22" t="str">
        <x:v>Support</x:v>
      </x:c>
      <x:c r="L31" s="22" t="str">
        <x:v>C-PILLAR, C-COST</x:v>
      </x:c>
      <x:c r="M31" s="22" t="str">
        <x:v>https://www.homecredit.vn/tra-cuu-mau-hop-dong</x:v>
      </x:c>
      <x:c r="N31" s="22" t="str">
        <x:v>Latest installment terms effective 04/09/2026</x:v>
      </x:c>
      <x:c r="O31" s="22" t="str">
        <x:v>P0</x:v>
      </x:c>
      <x:c r="P31" s="22" t="str">
        <x:v>Publish</x:v>
      </x:c>
      <x:c r="Q31" s="22" t="str">
        <x:v>Very volatile.</x:v>
      </x:c>
    </x:row>
    <x:row r="32">
      <x:c r="A32" s="22" t="str">
        <x:v>B-COMPARE</x:v>
      </x:c>
      <x:c r="B32" s="22" t="str">
        <x:v>Bridge</x:v>
      </x:c>
      <x:c r="C32" s="22" t="str">
        <x:v>SEO Title</x:v>
      </x:c>
      <x:c r="D32" s="22" t="str">
        <x:v>Vay tiền mặt hay thẻ tín dụng Home Credit khác nhau thế nào?</x:v>
      </x:c>
      <x:c r="E32" s="22" t="str">
        <x:v>Clarification</x:v>
      </x:c>
      <x:c r="F32" s="22" t="str">
        <x:v>Route user to right product.</x:v>
      </x:c>
      <x:c r="G32" s="22" t="str">
        <x:v>Cash loan = fixed contract/repayment; card = revolving credit/billing; cost structure; cash withdrawal differs.</x:v>
      </x:c>
      <x:c r="H32" s="22" t="str">
        <x:v>Không tell user what they 'should' borrow based on personal profile.</x:v>
      </x:c>
      <x:c r="I32" s="22" t="str">
        <x:v>Feature comparison → owner links.</x:v>
      </x:c>
      <x:c r="J32" s="22" t="str">
        <x:v>SERP</x:v>
      </x:c>
      <x:c r="K32" s="22" t="str">
        <x:v>Route to correct pillar</x:v>
      </x:c>
      <x:c r="L32" s="22" t="str">
        <x:v>L-PILLAR, C-PILLAR, C-CASH</x:v>
      </x:c>
      <x:c r="M32" s="22" t="str">
        <x:v>https://www.homecredit.vn/</x:v>
      </x:c>
      <x:c r="N32" s="22" t="str">
        <x:v>Current product definitions</x:v>
      </x:c>
      <x:c r="O32" s="22" t="str">
        <x:v>P1</x:v>
      </x:c>
      <x:c r="P32" s="22" t="str">
        <x:v>Publish</x:v>
      </x:c>
      <x:c r="Q32" s="22" t="str">
        <x:v>Neutral comparison.</x:v>
      </x:c>
    </x:row>
  </x:sheetData>
  <x:mergeCells>
    <x:mergeCell ref="A1:Q1"/>
    <x:mergeCell ref="A2:Q2"/>
  </x:mergeCells>
  <x:conditionalFormatting sqref="O5:O32">
    <x:cfRule type="expression" dxfId="2" priority="1">
      <x:formula>O5="P0"</x:formula>
    </x:cfRule>
    <x:cfRule type="expression" dxfId="3" priority="2">
      <x:formula>O5="P1"</x:formula>
    </x:cfRule>
  </x:conditionalFormatting>
  <x:pageMargins left="0.7" right="0.7" top="0.75" bottom="0.75" header="0.3" footer="0.3"/>
  <x:tableParts count="1">
    <x:tablePart xmlns:r="http://schemas.openxmlformats.org/officeDocument/2006/relationships" r:id="Rbe52a11785d947f0"/>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42" hidden="0" customWidth="1"/>
    <x:col min="4" max="4" width="34" hidden="0" customWidth="1"/>
    <x:col min="5" max="5" width="20" hidden="0" customWidth="1"/>
    <x:col min="6" max="6" width="30" hidden="0" customWidth="1"/>
    <x:col min="7" max="7" width="28" hidden="0" customWidth="1"/>
    <x:col min="8" max="8" width="28" hidden="0" customWidth="1"/>
    <x:col min="9" max="9" width="48" hidden="0" customWidth="1"/>
    <x:col min="10" max="10" width="34" hidden="0" customWidth="1"/>
    <x:col min="11" max="11" width="28" hidden="0" customWidth="1"/>
    <x:col min="12" max="12" width="36" hidden="0" customWidth="1"/>
    <x:col min="13" max="13" width="10" hidden="0" customWidth="1"/>
  </x:cols>
  <x:sheetData>
    <x:row r="1">
      <x:c r="A1" s="28" t="str">
        <x:v>HOME CREDIT – AFFILIATE CTA MATRIX</x:v>
      </x:c>
      <x:c r="B1" s="28"/>
      <x:c r="C1" s="28"/>
      <x:c r="D1" s="28"/>
      <x:c r="E1" s="28"/>
      <x:c r="F1" s="28"/>
      <x:c r="G1" s="28"/>
      <x:c r="H1" s="28"/>
      <x:c r="I1" s="28"/>
      <x:c r="J1" s="28"/>
      <x:c r="K1" s="28"/>
      <x:c r="L1" s="28"/>
      <x:c r="M1" s="28"/>
    </x:row>
    <x:row r="2">
      <x:c r="A2" s="12" t="str">
        <x:v>Affiliate CTA phải theo intent. Product pillars có CTA mạnh; cost/troubleshooting/servicing pages ưu tiên trả lời trước, rồi mới điều hướng.</x:v>
      </x:c>
      <x:c r="B2" s="12"/>
      <x:c r="C2" s="12"/>
      <x:c r="D2" s="12"/>
      <x:c r="E2" s="12"/>
      <x:c r="F2" s="12"/>
      <x:c r="G2" s="12"/>
      <x:c r="H2" s="12"/>
      <x:c r="I2" s="12"/>
      <x:c r="J2" s="12"/>
      <x:c r="K2" s="12"/>
      <x:c r="L2" s="12"/>
      <x:c r="M2" s="12"/>
    </x:row>
    <x:row r="4">
      <x:c r="A4" s="20" t="str">
        <x:v>Asset ID</x:v>
      </x:c>
      <x:c r="B4" s="20" t="str">
        <x:v>Intent temperature</x:v>
      </x:c>
      <x:c r="C4" s="20" t="str">
        <x:v>Primary CTA</x:v>
      </x:c>
      <x:c r="D4" s="20" t="str">
        <x:v>Secondary CTA</x:v>
      </x:c>
      <x:c r="E4" s="20" t="str">
        <x:v>Affiliate-link visibility</x:v>
      </x:c>
      <x:c r="F4" s="20" t="str">
        <x:v>Disclosure position</x:v>
      </x:c>
      <x:c r="G4" s="20" t="str">
        <x:v>Placement 1</x:v>
      </x:c>
      <x:c r="H4" s="20" t="str">
        <x:v>Placement 2</x:v>
      </x:c>
      <x:c r="I4" s="20" t="str">
        <x:v>Avoid</x:v>
      </x:c>
      <x:c r="J4" s="20" t="str">
        <x:v>Tracking event</x:v>
      </x:c>
      <x:c r="K4" s="20" t="str">
        <x:v>Conversion KPI</x:v>
      </x:c>
      <x:c r="L4" s="20" t="str">
        <x:v>Trust note</x:v>
      </x:c>
      <x:c r="M4" s="20" t="str">
        <x:v>Priority</x:v>
      </x:c>
    </x:row>
    <x:row r="5">
      <x:c r="A5" s="22" t="str">
        <x:v>L-PILLAR</x:v>
      </x:c>
      <x:c r="B5" s="22" t="str">
        <x:v>Hot</x:v>
      </x:c>
      <x:c xmlns:x="http://schemas.openxmlformats.org/spreadsheetml/2006/main" r="C5" s="22" t="str">
        <x:v>Tải ứng dụng Home Credit</x:v>
      </x:c>
      <x:c r="D5" s="22" t="str">
        <x:v>Xem điều kiện và chi phí trước</x:v>
      </x:c>
      <x:c r="E5" s="22" t="str">
        <x:v>High</x:v>
      </x:c>
      <x:c r="F5" s="22" t="str">
        <x:v>Ngay gần CTA đầu</x:v>
      </x:c>
      <x:c r="G5" s="22" t="str">
        <x:v>After answer block</x:v>
      </x:c>
      <x:c r="H5" s="22" t="str">
        <x:v>After cost/process</x:v>
      </x:c>
      <x:c r="I5" s="22" t="str">
        <x:v>Không hứa duyệt/hạn mức</x:v>
      </x:c>
      <x:c xmlns:x="http://schemas.openxmlformats.org/spreadsheetml/2006/main" r="J5" s="22" t="str">
        <x:v>affiliate_click; referral_code_copy (existing consent-aware events)</x:v>
      </x:c>
      <x:c r="K5" s="22" t="str">
        <x:v>Outbound CTR / approved conversion if available</x:v>
      </x:c>
      <x:c r="L5" s="22" t="str">
        <x:v>1 Phút Đăng Ký không thẩm định hoặc cấp vay.</x:v>
      </x:c>
      <x:c r="M5" s="22" t="str">
        <x:v>P0</x:v>
      </x:c>
    </x:row>
    <x:row r="6">
      <x:c r="A6" s="22" t="str">
        <x:v>C-PILLAR</x:v>
      </x:c>
      <x:c r="B6" s="22" t="str">
        <x:v>Hot</x:v>
      </x:c>
      <x:c xmlns:x="http://schemas.openxmlformats.org/spreadsheetml/2006/main" r="C6" s="22" t="str">
        <x:v>Tải ứng dụng Home Credit</x:v>
      </x:c>
      <x:c xmlns:x="http://schemas.openxmlformats.org/spreadsheetml/2006/main" r="D6" s="22" t="str">
        <x:v>Mục lục: Phí và lãi cần đọc trước khi ký</x:v>
      </x:c>
      <x:c r="E6" s="22" t="str">
        <x:v>High</x:v>
      </x:c>
      <x:c r="F6" s="22" t="str">
        <x:v>Ngay gần CTA đầu</x:v>
      </x:c>
      <x:c r="G6" s="22" t="str">
        <x:v>After answer block</x:v>
      </x:c>
      <x:c r="H6" s="22" t="str">
        <x:v>After eligibility/cost</x:v>
      </x:c>
      <x:c r="I6" s="22" t="str">
        <x:v>Không hứa hạn mức/approval</x:v>
      </x:c>
      <x:c xmlns:x="http://schemas.openxmlformats.org/spreadsheetml/2006/main" r="J6" s="22" t="str">
        <x:v>affiliate_click; referral_code_copy (existing consent-aware events, separate credit-card product ID)</x:v>
      </x:c>
      <x:c r="K6" s="22" t="str">
        <x:v>Outbound CTR / card conversion</x:v>
      </x:c>
      <x:c r="L6" s="22" t="str">
        <x:v>Home Credit quyết định phê duyệt.</x:v>
      </x:c>
      <x:c r="M6" s="22" t="str">
        <x:v>P0</x:v>
      </x:c>
    </x:row>
    <x:row r="7">
      <x:c r="A7" s="22" t="str">
        <x:v>L-RATE</x:v>
      </x:c>
      <x:c r="B7" s="22" t="str">
        <x:v>Warm-hot</x:v>
      </x:c>
      <x:c r="C7" s="22" t="str">
        <x:v>Xem khoản vay hiện Home Credit đang đề nghị</x:v>
      </x:c>
      <x:c r="D7" s="22" t="str">
        <x:v>Quay lại hướng dẫn vay</x:v>
      </x:c>
      <x:c r="E7" s="22" t="str">
        <x:v>Medium</x:v>
      </x:c>
      <x:c r="F7" s="22" t="str">
        <x:v>Near CTA</x:v>
      </x:c>
      <x:c r="G7" s="22" t="str">
        <x:v>After cost explanation</x:v>
      </x:c>
      <x:c r="H7" s="22" t="str">
        <x:v>End</x:v>
      </x:c>
      <x:c r="I7" s="22" t="str">
        <x:v>Không đặt CTA trước khi giải thích rate conventions</x:v>
      </x:c>
      <x:c r="J7" s="22" t="str">
        <x:v>rate_to_loan</x:v>
      </x:c>
      <x:c r="K7" s="22" t="str">
        <x:v>Qualified outbound</x:v>
      </x:c>
      <x:c r="L7" s="22" t="str">
        <x:v>Education-first.</x:v>
      </x:c>
      <x:c r="M7" s="22" t="str">
        <x:v>P0</x:v>
      </x:c>
    </x:row>
    <x:row r="8">
      <x:c r="A8" s="22" t="str">
        <x:v>L-REJECT</x:v>
      </x:c>
      <x:c r="B8" s="22" t="str">
        <x:v>Problem</x:v>
      </x:c>
      <x:c r="C8" s="22" t="str">
        <x:v>Liên hệ/kiểm thông báo Home Credit nếu cần</x:v>
      </x:c>
      <x:c r="D8" s="22" t="str">
        <x:v>Quay lại loan pillar khi phù hợp</x:v>
      </x:c>
      <x:c r="E8" s="22" t="str">
        <x:v>Low</x:v>
      </x:c>
      <x:c r="F8" s="22" t="str">
        <x:v>Near any affiliate CTA</x:v>
      </x:c>
      <x:c r="G8" s="22" t="str">
        <x:v>After direct answer</x:v>
      </x:c>
      <x:c r="H8" s="22" t="str">
        <x:v>End</x:v>
      </x:c>
      <x:c r="I8" s="22" t="str">
        <x:v>Không khuyến khích nộp lại liên tục/lách thẩm định</x:v>
      </x:c>
      <x:c r="J8" s="22" t="str">
        <x:v>reject_support; reject_to_loan</x:v>
      </x:c>
      <x:c r="K8" s="22" t="str">
        <x:v>Support exit / assisted click</x:v>
      </x:c>
      <x:c r="L8" s="22" t="str">
        <x:v>Problem-first.</x:v>
      </x:c>
      <x:c r="M8" s="22" t="str">
        <x:v>P0</x:v>
      </x:c>
    </x:row>
    <x:row r="9">
      <x:c r="A9" s="22" t="str">
        <x:v>L-COST</x:v>
      </x:c>
      <x:c r="B9" s="22" t="str">
        <x:v>Warm-hot</x:v>
      </x:c>
      <x:c r="C9" s="22" t="str">
        <x:v>Xem đề nghị/hợp đồng Home Credit hiện hành</x:v>
      </x:c>
      <x:c r="D9" s="22" t="str">
        <x:v>Quay lại loan pillar</x:v>
      </x:c>
      <x:c r="E9" s="22" t="str">
        <x:v>Medium</x:v>
      </x:c>
      <x:c r="F9" s="22" t="str">
        <x:v>Near CTA</x:v>
      </x:c>
      <x:c r="G9" s="22" t="str">
        <x:v>After fee table</x:v>
      </x:c>
      <x:c r="H9" s="22" t="str">
        <x:v>End</x:v>
      </x:c>
      <x:c r="I9" s="22" t="str">
        <x:v>Không giấu bảo hiểm/phí</x:v>
      </x:c>
      <x:c r="J9" s="22" t="str">
        <x:v>cost_to_loan</x:v>
      </x:c>
      <x:c r="K9" s="22" t="str">
        <x:v>Qualified outbound</x:v>
      </x:c>
      <x:c r="L9" s="22" t="str">
        <x:v>Cost transparency.</x:v>
      </x:c>
      <x:c r="M9" s="22" t="str">
        <x:v>P0</x:v>
      </x:c>
    </x:row>
    <x:row r="10">
      <x:c r="A10" s="22" t="str">
        <x:v>L-NEED</x:v>
      </x:c>
      <x:c r="B10" s="22" t="str">
        <x:v>Warm</x:v>
      </x:c>
      <x:c r="C10" s="22" t="str">
        <x:v>Bắt đầu đăng ký nếu đáp ứng điều kiện cơ bản</x:v>
      </x:c>
      <x:c r="D10" s="22" t="str">
        <x:v>Xem chi phí</x:v>
      </x:c>
      <x:c r="E10" s="22" t="str">
        <x:v>Medium</x:v>
      </x:c>
      <x:c r="F10" s="22" t="str">
        <x:v>Near CTA</x:v>
      </x:c>
      <x:c r="G10" s="22" t="str">
        <x:v>After checklist</x:v>
      </x:c>
      <x:c r="H10" s="22" t="str">
        <x:v>End</x:v>
      </x:c>
      <x:c r="I10" s="22" t="str">
        <x:v>Không nói đủ hồ sơ = chắc được duyệt</x:v>
      </x:c>
      <x:c r="J10" s="22" t="str">
        <x:v>need_to_loan</x:v>
      </x:c>
      <x:c r="K10" s="22" t="str">
        <x:v>Qualified click</x:v>
      </x:c>
      <x:c r="L10" s="22" t="str">
        <x:v>Qualification-first.</x:v>
      </x:c>
      <x:c r="M10" s="22" t="str">
        <x:v>P1</x:v>
      </x:c>
    </x:row>
    <x:row r="11">
      <x:c r="A11" s="22" t="str">
        <x:v>L-TIME</x:v>
      </x:c>
      <x:c r="B11" s="22" t="str">
        <x:v>Hot</x:v>
      </x:c>
      <x:c r="C11" s="22" t="str">
        <x:v>Kiểm tra trạng thái/kênh Home Credit</x:v>
      </x:c>
      <x:c r="D11" s="22" t="str">
        <x:v>Quay lại hướng dẫn vay</x:v>
      </x:c>
      <x:c r="E11" s="22" t="str">
        <x:v>Low-Medium</x:v>
      </x:c>
      <x:c r="F11" s="22" t="str">
        <x:v>Near CTA</x:v>
      </x:c>
      <x:c r="G11" s="22" t="str">
        <x:v>After timing answer</x:v>
      </x:c>
      <x:c r="H11" s="22" t="str">
        <x:v>End</x:v>
      </x:c>
      <x:c r="I11" s="22" t="str">
        <x:v>Không cam kết thời gian xử lý</x:v>
      </x:c>
      <x:c r="J11" s="22" t="str">
        <x:v>time_to_loan</x:v>
      </x:c>
      <x:c r="K11" s="22" t="str">
        <x:v>Assisted outbound</x:v>
      </x:c>
      <x:c r="L11" s="22" t="str">
        <x:v>Timing caveat.</x:v>
      </x:c>
      <x:c r="M11" s="22" t="str">
        <x:v>P1</x:v>
      </x:c>
    </x:row>
    <x:row r="12">
      <x:c r="A12" s="22" t="str">
        <x:v>L-PAY</x:v>
      </x:c>
      <x:c r="B12" s="22" t="str">
        <x:v>Post-action</x:v>
      </x:c>
      <x:c r="C12" s="22" t="str">
        <x:v>Mở ứng dụng/kênh Home Credit để thanh toán</x:v>
      </x:c>
      <x:c r="D12" s="22" t="str">
        <x:v>Xem hướng dẫn khoản vay</x:v>
      </x:c>
      <x:c r="E12" s="22" t="str">
        <x:v>Low</x:v>
      </x:c>
      <x:c r="F12" s="22" t="str">
        <x:v>Before support links</x:v>
      </x:c>
      <x:c r="G12" s="22" t="str">
        <x:v>After steps</x:v>
      </x:c>
      <x:c r="H12" s="22" t="str">
        <x:v>End</x:v>
      </x:c>
      <x:c r="I12" s="22" t="str">
        <x:v>Không đẩy affiliate sales mạnh</x:v>
      </x:c>
      <x:c r="J12" s="22" t="str">
        <x:v>loan_payment_support</x:v>
      </x:c>
      <x:c r="K12" s="22" t="str">
        <x:v>Support resolution</x:v>
      </x:c>
      <x:c r="L12" s="22" t="str">
        <x:v>Servicing-first.</x:v>
      </x:c>
      <x:c r="M12" s="22" t="str">
        <x:v>P1</x:v>
      </x:c>
    </x:row>
    <x:row r="13">
      <x:c r="A13" s="22" t="str">
        <x:v>C-NEED</x:v>
      </x:c>
      <x:c r="B13" s="22" t="str">
        <x:v>Warm</x:v>
      </x:c>
      <x:c r="C13" s="22" t="str">
        <x:v>Mở thẻ nếu đáp ứng điều kiện cơ bản</x:v>
      </x:c>
      <x:c r="D13" s="22" t="str">
        <x:v>Xem phí/lãi</x:v>
      </x:c>
      <x:c r="E13" s="22" t="str">
        <x:v>Medium</x:v>
      </x:c>
      <x:c r="F13" s="22" t="str">
        <x:v>Near CTA</x:v>
      </x:c>
      <x:c r="G13" s="22" t="str">
        <x:v>After checklist</x:v>
      </x:c>
      <x:c r="H13" s="22" t="str">
        <x:v>End</x:v>
      </x:c>
      <x:c r="I13" s="22" t="str">
        <x:v>Không nói không chứng minh thu nhập = chắc được duyệt</x:v>
      </x:c>
      <x:c r="J13" s="22" t="str">
        <x:v>need_to_card</x:v>
      </x:c>
      <x:c r="K13" s="22" t="str">
        <x:v>Qualified card click</x:v>
      </x:c>
      <x:c r="L13" s="22" t="str">
        <x:v>Qualification-first.</x:v>
      </x:c>
      <x:c r="M13" s="22" t="str">
        <x:v>P1</x:v>
      </x:c>
    </x:row>
    <x:row r="14">
      <x:c r="A14" s="22" t="str">
        <x:v>C-COST</x:v>
      </x:c>
      <x:c r="B14" s="22" t="str">
        <x:v>Warm-hot</x:v>
      </x:c>
      <x:c r="C14" s="22" t="str">
        <x:v>Xem thẻ/đăng ký sau khi đọc biểu phí</x:v>
      </x:c>
      <x:c r="D14" s="22" t="str">
        <x:v>Quay lại card pillar</x:v>
      </x:c>
      <x:c r="E14" s="22" t="str">
        <x:v>Medium</x:v>
      </x:c>
      <x:c r="F14" s="22" t="str">
        <x:v>Near CTA</x:v>
      </x:c>
      <x:c r="G14" s="22" t="str">
        <x:v>After current tariff</x:v>
      </x:c>
      <x:c r="H14" s="22" t="str">
        <x:v>End</x:v>
      </x:c>
      <x:c r="I14" s="22" t="str">
        <x:v>Không dẫn bằng promo cũ</x:v>
      </x:c>
      <x:c r="J14" s="22" t="str">
        <x:v>cost_to_card</x:v>
      </x:c>
      <x:c r="K14" s="22" t="str">
        <x:v>Qualified outbound</x:v>
      </x:c>
      <x:c r="L14" s="22" t="str">
        <x:v>Cost-first.</x:v>
      </x:c>
      <x:c r="M14" s="22" t="str">
        <x:v>P0</x:v>
      </x:c>
    </x:row>
    <x:row r="15">
      <x:c r="A15" s="22" t="str">
        <x:v>C-STATEMENT</x:v>
      </x:c>
      <x:c r="B15" s="22" t="str">
        <x:v>Post-action</x:v>
      </x:c>
      <x:c r="C15" s="22" t="str">
        <x:v>Mở app Home Credit kiểm sao kê/dư nợ</x:v>
      </x:c>
      <x:c r="D15" s="22" t="str">
        <x:v>Quay lại card pillar</x:v>
      </x:c>
      <x:c r="E15" s="22" t="str">
        <x:v>Low</x:v>
      </x:c>
      <x:c r="F15" s="22" t="str">
        <x:v>Minimal</x:v>
      </x:c>
      <x:c r="G15" s="22" t="str">
        <x:v>After explanation</x:v>
      </x:c>
      <x:c r="H15" s="22" t="str">
        <x:v>End</x:v>
      </x:c>
      <x:c r="I15" s="22" t="str">
        <x:v>Không đẩy mở thẻ mới cho người đang trả nợ</x:v>
      </x:c>
      <x:c r="J15" s="22" t="str">
        <x:v>statement_support</x:v>
      </x:c>
      <x:c r="K15" s="22" t="str">
        <x:v>Support resolution</x:v>
      </x:c>
      <x:c r="L15" s="22" t="str">
        <x:v>Servicing page.</x:v>
      </x:c>
      <x:c r="M15" s="22" t="str">
        <x:v>P1</x:v>
      </x:c>
    </x:row>
    <x:row r="16">
      <x:c r="A16" s="22" t="str">
        <x:v>C-CASH</x:v>
      </x:c>
      <x:c r="B16" s="22" t="str">
        <x:v>Hot/problem</x:v>
      </x:c>
      <x:c r="C16" s="22" t="str">
        <x:v>Kiểm biểu phí/hạn mức trên Home Credit</x:v>
      </x:c>
      <x:c r="D16" s="22" t="str">
        <x:v>Xem card pillar</x:v>
      </x:c>
      <x:c r="E16" s="22" t="str">
        <x:v>Low</x:v>
      </x:c>
      <x:c r="F16" s="22" t="str">
        <x:v>Near CTA if any</x:v>
      </x:c>
      <x:c r="G16" s="22" t="str">
        <x:v>After cost warning</x:v>
      </x:c>
      <x:c r="H16" s="22" t="str">
        <x:v>End</x:v>
      </x:c>
      <x:c r="I16" s="22" t="str">
        <x:v>Không quảng bá rút tiền như khoản vay rẻ</x:v>
      </x:c>
      <x:c r="J16" s="22" t="str">
        <x:v>cash_advance_support</x:v>
      </x:c>
      <x:c r="K16" s="22" t="str">
        <x:v>Support/education</x:v>
      </x:c>
      <x:c r="L16" s="22" t="str">
        <x:v>High-cost use case.</x:v>
      </x:c>
      <x:c r="M16" s="22" t="str">
        <x:v>P0</x:v>
      </x:c>
    </x:row>
    <x:row r="17">
      <x:c r="A17" s="22" t="str">
        <x:v>C-INSTALL</x:v>
      </x:c>
      <x:c r="B17" s="22" t="str">
        <x:v>Post-action</x:v>
      </x:c>
      <x:c r="C17" s="22" t="str">
        <x:v>Kiểm điều kiện trả góp hiện hành trên Home Credit</x:v>
      </x:c>
      <x:c r="D17" s="22" t="str">
        <x:v>Xem biểu phí</x:v>
      </x:c>
      <x:c r="E17" s="22" t="str">
        <x:v>Low</x:v>
      </x:c>
      <x:c r="F17" s="22" t="str">
        <x:v>Minimal</x:v>
      </x:c>
      <x:c r="G17" s="22" t="str">
        <x:v>After current terms</x:v>
      </x:c>
      <x:c r="H17" s="22" t="str">
        <x:v>End</x:v>
      </x:c>
      <x:c r="I17" s="22" t="str">
        <x:v>Không dùng claim 0% nếu source hiện hành không xác nhận</x:v>
      </x:c>
      <x:c r="J17" s="22" t="str">
        <x:v>installment_support</x:v>
      </x:c>
      <x:c r="K17" s="22" t="str">
        <x:v>Support resolution</x:v>
      </x:c>
      <x:c r="L17" s="22" t="str">
        <x:v>Current terms only.</x:v>
      </x:c>
      <x:c r="M17" s="22" t="str">
        <x:v>P0</x:v>
      </x:c>
    </x:row>
    <x:row r="18">
      <x:c r="A18" s="22" t="str">
        <x:v>B-COMPARE</x:v>
      </x:c>
      <x:c r="B18" s="22" t="str">
        <x:v>Warm</x:v>
      </x:c>
      <x:c r="C18" s="22" t="str">
        <x:v>Xem vay tiền mặt</x:v>
      </x:c>
      <x:c r="D18" s="22" t="str">
        <x:v>Xem thẻ tín dụng</x:v>
      </x:c>
      <x:c r="E18" s="22" t="str">
        <x:v>Medium split</x:v>
      </x:c>
      <x:c r="F18" s="22" t="str">
        <x:v>Near both CTAs</x:v>
      </x:c>
      <x:c r="G18" s="22" t="str">
        <x:v>After comparison table</x:v>
      </x:c>
      <x:c r="H18" s="22" t="str">
        <x:v>End</x:v>
      </x:c>
      <x:c r="I18" s="22" t="str">
        <x:v>Không cá nhân hóa khuyến nghị vay</x:v>
      </x:c>
      <x:c r="J18" s="22" t="str">
        <x:v>compare_to_loan; compare_to_card</x:v>
      </x:c>
      <x:c r="K18" s="22" t="str">
        <x:v>Correct routing</x:v>
      </x:c>
      <x:c r="L18" s="22" t="str">
        <x:v>Neutral routing.</x:v>
      </x:c>
      <x:c r="M18" s="22" t="str">
        <x:v>P1</x:v>
      </x:c>
    </x:row>
  </x:sheetData>
  <x:mergeCells>
    <x:mergeCell ref="A1:M1"/>
    <x:mergeCell ref="A2:M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40" hidden="0" customWidth="1"/>
    <x:col min="3" max="3" width="68" hidden="0" customWidth="1"/>
    <x:col min="4" max="4" width="22" hidden="0" customWidth="1"/>
    <x:col min="5" max="5" width="44" hidden="0" customWidth="1"/>
    <x:col min="6" max="6" width="42" hidden="0" customWidth="1"/>
    <x:col min="7" max="7" width="40" hidden="0" customWidth="1"/>
    <x:col min="8" max="8" width="16" hidden="0" customWidth="1"/>
    <x:col min="9" max="9" width="14" hidden="0" customWidth="1"/>
    <x:col min="10" max="10" width="30" hidden="0" customWidth="1"/>
    <x:col min="11" max="11" width="34" hidden="0" customWidth="1"/>
    <x:col min="12" max="12" width="52" hidden="0" customWidth="1"/>
  </x:cols>
  <x:sheetData>
    <x:row r="1">
      <x:c r="A1" s="28" t="str">
        <x:v>HOME CREDIT – PUBLISH SOURCE MATRIX</x:v>
      </x:c>
      <x:c r="B1" s="28"/>
      <x:c r="C1" s="28"/>
      <x:c r="D1" s="28"/>
      <x:c r="E1" s="28"/>
      <x:c r="F1" s="28"/>
      <x:c r="G1" s="28"/>
      <x:c r="H1" s="28"/>
      <x:c r="I1" s="28"/>
      <x:c r="J1" s="28"/>
      <x:c r="K1" s="28"/>
      <x:c r="L1" s="28"/>
    </x:row>
    <x:row r="2">
      <x:c r="A2" s="42" t="str">
        <x:v>Home Credit official là source of truth cho lãi/phí/điều kiện/quy trình. SERP bên thứ ba chỉ dùng phát hiện câu hỏi, không dùng làm bằng chứng tài chính.</x:v>
      </x:c>
      <x:c r="B2" s="42"/>
      <x:c r="C2" s="42"/>
      <x:c r="D2" s="42"/>
      <x:c r="E2" s="42"/>
      <x:c r="F2" s="42"/>
      <x:c r="G2" s="42"/>
      <x:c r="H2" s="42"/>
      <x:c r="I2" s="42"/>
      <x:c r="J2" s="42"/>
      <x:c r="K2" s="42"/>
      <x:c r="L2" s="42"/>
    </x:row>
    <x:row r="4">
      <x:c r="A4" s="20" t="str">
        <x:v>Source ID</x:v>
      </x:c>
      <x:c r="B4" s="20" t="str">
        <x:v>Source</x:v>
      </x:c>
      <x:c r="C4" s="20" t="str">
        <x:v>URL</x:v>
      </x:c>
      <x:c r="D4" s="20" t="str">
        <x:v>Authority</x:v>
      </x:c>
      <x:c r="E4" s="20" t="str">
        <x:v>Use for</x:v>
      </x:c>
      <x:c r="F4" s="20" t="str">
        <x:v>Do not use for</x:v>
      </x:c>
      <x:c r="G4" s="20" t="str">
        <x:v>Assets</x:v>
      </x:c>
      <x:c r="H4" s="20" t="str">
        <x:v>Volatility</x:v>
      </x:c>
      <x:c r="I4" s="20" t="str">
        <x:v>Checked</x:v>
      </x:c>
      <x:c r="J4" s="20" t="str">
        <x:v>Recheck trigger</x:v>
      </x:c>
      <x:c r="K4" s="20" t="str">
        <x:v>Publish rule</x:v>
      </x:c>
      <x:c r="L4" s="20" t="str">
        <x:v>Notes</x:v>
      </x:c>
    </x:row>
    <x:row r="5">
      <x:c r="A5" s="22" t="str">
        <x:v>S1</x:v>
      </x:c>
      <x:c r="B5" s="22" t="str">
        <x:v>Home Credit – vay tiền online / check hạn mức</x:v>
      </x:c>
      <x:c r="C5" s="22" t="str">
        <x:v>https://dangky.homecredit.vn/vay-tien</x:v>
      </x:c>
      <x:c r="D5" s="22" t="str">
        <x:v>Primary / official</x:v>
      </x:c>
      <x:c r="E5" s="22" t="str">
        <x:v>Current loan product, range/term/rate claims, application flow</x:v>
      </x:c>
      <x:c r="F5" s="22" t="str">
        <x:v>Card terms</x:v>
      </x:c>
      <x:c r="G5" s="22" t="str">
        <x:v>L-PILLAR; L-RATE; L-TIME; L-COST</x:v>
      </x:c>
      <x:c r="H5" s="22" t="str">
        <x:v>High</x:v>
      </x:c>
      <x:c xmlns:x="http://schemas.openxmlformats.org/spreadsheetml/2006/main" r="I5" s="22" t="str">
        <x:v>2026-10-28</x:v>
      </x:c>
      <x:c r="J5" s="22" t="str">
        <x:v>Before publish/update</x:v>
      </x:c>
      <x:c r="K5" s="22" t="str">
        <x:v>Required for product claims</x:v>
      </x:c>
      <x:c r="L5" s="22" t="str">
        <x:v>Currently advertises online process, 3–57 months, rate from 0.75%/month, quick approval/disbursement; verify at publish.</x:v>
      </x:c>
    </x:row>
    <x:row r="6">
      <x:c r="A6" s="22" t="str">
        <x:v>S2</x:v>
      </x:c>
      <x:c r="B6" s="22" t="str">
        <x:v>Home Credit – FAQ vay tiền mặt</x:v>
      </x:c>
      <x:c r="C6" s="22" t="str">
        <x:v>https://www.homecredit.vn/faq/vay-tien-mat</x:v>
      </x:c>
      <x:c r="D6" s="22" t="str">
        <x:v>Primary / official</x:v>
      </x:c>
      <x:c r="E6" s="22" t="str">
        <x:v>Loan rate examples, limits, product FAQs</x:v>
      </x:c>
      <x:c r="F6" s="22" t="str">
        <x:v>Latest card tariff</x:v>
      </x:c>
      <x:c r="G6" s="22" t="str">
        <x:v>L-PILLAR; L-RATE</x:v>
      </x:c>
      <x:c r="H6" s="22" t="str">
        <x:v>High</x:v>
      </x:c>
      <x:c xmlns:x="http://schemas.openxmlformats.org/spreadsheetml/2006/main" r="I6" s="22" t="str">
        <x:v>2026-10-28</x:v>
      </x:c>
      <x:c r="J6" s="22" t="str">
        <x:v>Before cost update</x:v>
      </x:c>
      <x:c r="K6" s="22" t="str">
        <x:v>Required</x:v>
      </x:c>
      <x:c r="L6" s="22" t="str">
        <x:v>Use exact rate convention labels.</x:v>
      </x:c>
    </x:row>
    <x:row r="7">
      <x:c r="A7" s="22" t="str">
        <x:v>S3</x:v>
      </x:c>
      <x:c r="B7" s="22" t="str">
        <x:v>Home Credit – cập nhật hợp đồng vay tiền mặt</x:v>
      </x:c>
      <x:c r="C7" s="22" t="str">
        <x:v>https://www.homecredit.vn/blog/cap-nhat-hop-dong-cho-vay-tien-mat</x:v>
      </x:c>
      <x:c r="D7" s="22" t="str">
        <x:v>Primary / official</x:v>
      </x:c>
      <x:c r="E7" s="22" t="str">
        <x:v>Age 20–60, docs, possible salary statement for higher limits, online/offline channels</x:v>
      </x:c>
      <x:c r="F7" s="22" t="str">
        <x:v>Guarantee of approval</x:v>
      </x:c>
      <x:c r="G7" s="22" t="str">
        <x:v>L-NEED; L-PILLAR</x:v>
      </x:c>
      <x:c r="H7" s="22" t="str">
        <x:v>Medium</x:v>
      </x:c>
      <x:c xmlns:x="http://schemas.openxmlformats.org/spreadsheetml/2006/main" r="I7" s="22" t="str">
        <x:v>2026-10-28</x:v>
      </x:c>
      <x:c r="J7" s="22" t="str">
        <x:v>Before eligibility update</x:v>
      </x:c>
      <x:c r="K7" s="22" t="str">
        <x:v>Required</x:v>
      </x:c>
      <x:c r="L7" s="22" t="str">
        <x:v>Recent 2026 page.</x:v>
      </x:c>
    </x:row>
    <x:row r="8">
      <x:c r="A8" s="22" t="str">
        <x:v>S4</x:v>
      </x:c>
      <x:c r="B8" s="22" t="str">
        <x:v>Home Credit – FAQ hợp đồng vay</x:v>
      </x:c>
      <x:c r="C8" s="22" t="str">
        <x:v>https://www.homecredit.vn/faq/hop-dong-vay</x:v>
      </x:c>
      <x:c r="D8" s="22" t="str">
        <x:v>Primary / official</x:v>
      </x:c>
      <x:c r="E8" s="22" t="str">
        <x:v>Rejection reasons, borrowing again, support</x:v>
      </x:c>
      <x:c r="F8" s="22" t="str">
        <x:v>How to game scoring</x:v>
      </x:c>
      <x:c r="G8" s="22" t="str">
        <x:v>L-REJECT; L-PILLAR</x:v>
      </x:c>
      <x:c r="H8" s="22" t="str">
        <x:v>Medium</x:v>
      </x:c>
      <x:c xmlns:x="http://schemas.openxmlformats.org/spreadsheetml/2006/main" r="I8" s="22" t="str">
        <x:v>2026-10-28</x:v>
      </x:c>
      <x:c r="J8" s="22" t="str">
        <x:v>Before troubleshooting publish</x:v>
      </x:c>
      <x:c r="K8" s="22" t="str">
        <x:v>Required</x:v>
      </x:c>
      <x:c r="L8" s="22" t="str">
        <x:v>Reapply messaging should be checked against other current FAQs.</x:v>
      </x:c>
    </x:row>
    <x:row r="9">
      <x:c r="A9" s="22" t="str">
        <x:v>S5</x:v>
      </x:c>
      <x:c r="B9" s="22" t="str">
        <x:v>Home Credit – FAQ quy trình thẩm định</x:v>
      </x:c>
      <x:c r="C9" s="22" t="str">
        <x:v>https://www.homecredit.vn/faq/quy-trinh-tham-dinh</x:v>
      </x:c>
      <x:c r="D9" s="22" t="str">
        <x:v>Primary / official</x:v>
      </x:c>
      <x:c r="E9" s="22" t="str">
        <x:v>Rejected application / reapply notification logic</x:v>
      </x:c>
      <x:c r="F9" s="22" t="str">
        <x:v>Guaranteed reapply timeline</x:v>
      </x:c>
      <x:c r="G9" s="22" t="str">
        <x:v>L-REJECT</x:v>
      </x:c>
      <x:c r="H9" s="22" t="str">
        <x:v>Medium</x:v>
      </x:c>
      <x:c xmlns:x="http://schemas.openxmlformats.org/spreadsheetml/2006/main" r="I9" s="22" t="str">
        <x:v>2026-10-28</x:v>
      </x:c>
      <x:c r="J9" s="22" t="str">
        <x:v>Before publish</x:v>
      </x:c>
      <x:c r="K9" s="22" t="str">
        <x:v>Use cautious wording</x:v>
      </x:c>
      <x:c r="L9" s="22" t="str">
        <x:v>Official pages can phrase reapply differently.</x:v>
      </x:c>
    </x:row>
    <x:row r="10">
      <x:c r="A10" s="22" t="str">
        <x:v>S6</x:v>
      </x:c>
      <x:c r="B10" s="22" t="str">
        <x:v>Home Credit – thẻ tín dụng online</x:v>
      </x:c>
      <x:c r="C10" s="22" t="str">
        <x:v>https://www.homecredit.vn/the-tin-dung-online</x:v>
      </x:c>
      <x:c r="D10" s="22" t="str">
        <x:v>Primary / official</x:v>
      </x:c>
      <x:c r="E10" s="22" t="str">
        <x:v>Card eligibility, product benefits, application, current fee snippets</x:v>
      </x:c>
      <x:c r="F10" s="22" t="str">
        <x:v>Latest full tariff if newer doc exists</x:v>
      </x:c>
      <x:c r="G10" s="22" t="str">
        <x:v>C-PILLAR; C-NEED</x:v>
      </x:c>
      <x:c r="H10" s="22" t="str">
        <x:v>High</x:v>
      </x:c>
      <x:c xmlns:x="http://schemas.openxmlformats.org/spreadsheetml/2006/main" r="I10" s="22" t="str">
        <x:v>2026-10-29</x:v>
      </x:c>
      <x:c r="J10" s="22" t="str">
        <x:v>Before card update</x:v>
      </x:c>
      <x:c r="K10" s="22" t="str">
        <x:v>Required</x:v>
      </x:c>
      <x:c xmlns:x="http://schemas.openxmlformats.org/spreadsheetml/2006/main" r="L10" s="22" t="str">
        <x:v>2026-10-29 productpage accessed200, pageupdated12Oct2026. Eligibility20-60/validID, range1-100M, Apphome optionUu dai the tin dung. Age paragraph scoped Vietnamese customers; no approval guarantee or card-specific supportcode placement assumed.</x:v>
      </x:c>
    </x:row>
    <x:row r="11">
      <x:c r="A11" s="22" t="str">
        <x:v>S7</x:v>
      </x:c>
      <x:c r="B11" s="22" t="str">
        <x:v>Home Credit – FAQ thẻ tín dụng</x:v>
      </x:c>
      <x:c r="C11" s="22" t="str">
        <x:v>https://www.homecredit.vn/faq/the-tin-dung</x:v>
      </x:c>
      <x:c r="D11" s="22" t="str">
        <x:v>Primary / official</x:v>
      </x:c>
      <x:c r="E11" s="22" t="str">
        <x:v>Activation, withdrawal, limits, statement, minimum payment, due date</x:v>
      </x:c>
      <x:c r="F11" s="22" t="str">
        <x:v>Latest full fee schedule by all card types</x:v>
      </x:c>
      <x:c r="G11" s="22" t="str">
        <x:v>C-PILLAR; C-STATEMENT; C-ACTIVATE; C-CASH</x:v>
      </x:c>
      <x:c r="H11" s="22" t="str">
        <x:v>High</x:v>
      </x:c>
      <x:c xmlns:x="http://schemas.openxmlformats.org/spreadsheetml/2006/main" r="I11" s="22" t="str">
        <x:v>2026-10-29</x:v>
      </x:c>
      <x:c r="J11" s="22" t="str">
        <x:v>Before lifecycle update</x:v>
      </x:c>
      <x:c r="K11" s="22" t="str">
        <x:v>Required</x:v>
      </x:c>
      <x:c xmlns:x="http://schemas.openxmlformats.org/spreadsheetml/2006/main" r="L11" s="22" t="str">
        <x:v>2026-10-29 FAQ200. Supports Appapplication, activation and cardhotline1900633999. For minimum payment and fees use latest tariff/TnC instead of simplified7%FAQ or blanketATMavailability for virtualcards.</x:v>
      </x:c>
    </x:row>
    <x:row r="12">
      <x:c r="A12" s="22" t="str">
        <x:v>S8</x:v>
      </x:c>
      <x:c r="B12" s="22" t="str">
        <x:v>Home Credit – tra cứu mẫu hợp đồng</x:v>
      </x:c>
      <x:c r="C12" s="22" t="str">
        <x:v>https://www.homecredit.vn/tra-cuu-mau-hop-dong</x:v>
      </x:c>
      <x:c r="D12" s="22" t="str">
        <x:v>Primary / official</x:v>
      </x:c>
      <x:c r="E12" s="22" t="str">
        <x:v>Find latest credit-card tariff and installment terms</x:v>
      </x:c>
      <x:c r="F12" s="22" t="str">
        <x:v>Old tariff if newer effective document exists</x:v>
      </x:c>
      <x:c r="G12" s="22" t="str">
        <x:v>C-COST; C-CASH; C-INSTALL</x:v>
      </x:c>
      <x:c r="H12" s="22" t="str">
        <x:v>Very High</x:v>
      </x:c>
      <x:c xmlns:x="http://schemas.openxmlformats.org/spreadsheetml/2006/main" r="I12" s="22" t="str">
        <x:v>2026-10-29</x:v>
      </x:c>
      <x:c r="J12" s="22" t="str">
        <x:v>Every publish/update involving fees</x:v>
      </x:c>
      <x:c r="K12" s="22" t="str">
        <x:v>Latest document wins</x:v>
      </x:c>
      <x:c xmlns:x="http://schemas.openxmlformats.org/spreadsheetml/2006/main" r="L12" s="22" t="str">
        <x:v>2026-10-29 lookup200: latest tariff04Sep2026/2609_Credit_Card_tariff_VN_ff1e281fb6.pdf; latest cardTnC16Jul2026/Card_Card_Tn_C_VN_ver07_2026_0950fb1dfe.pdf; installmentTnC04Sep2026/Revamped_EPP_Tn_C_04092026_final_3_22e282cae2.pdf. Both tariffpages visually checked; cardtype/date exceptions preserved.</x:v>
      </x:c>
    </x:row>
    <x:row r="13">
      <x:c r="A13" s="22" t="str">
        <x:v>S9</x:v>
      </x:c>
      <x:c r="B13" s="22" t="str">
        <x:v>Home Credit – FAQ ứng dụng</x:v>
      </x:c>
      <x:c r="C13" s="22" t="str">
        <x:v>https://www.homecredit.vn/faq/ung-dung-home-credit</x:v>
      </x:c>
      <x:c r="D13" s="22" t="str">
        <x:v>Primary / official</x:v>
      </x:c>
      <x:c r="E13" s="22" t="str">
        <x:v>Loan payment, contract management, app usage</x:v>
      </x:c>
      <x:c r="F13" s="22" t="str">
        <x:v>Loan approval guarantee</x:v>
      </x:c>
      <x:c xmlns:x="http://schemas.openxmlformats.org/spreadsheetml/2006/main" r="G13" s="22" t="str">
        <x:v>C-PILLAR; L-PAY</x:v>
      </x:c>
      <x:c r="H13" s="22" t="str">
        <x:v>Medium</x:v>
      </x:c>
      <x:c xmlns:x="http://schemas.openxmlformats.org/spreadsheetml/2006/main" r="I13" s="22" t="str">
        <x:v>2026-10-29</x:v>
      </x:c>
      <x:c r="J13" s="22" t="str">
        <x:v>Before servicing update</x:v>
      </x:c>
      <x:c r="K13" s="22" t="str">
        <x:v>Required</x:v>
      </x:c>
      <x:c r="L13" s="22" t="str">
        <x:v>App UI can change.</x:v>
      </x:c>
    </x:row>
    <x:row r="14">
      <x:c r="A14" s="22" t="str">
        <x:v>S10</x:v>
      </x:c>
      <x:c r="B14" s="22" t="str">
        <x:v>1 Phút Đăng Ký – target Home Credit article</x:v>
      </x:c>
      <x:c r="C14" s="22" t="str">
        <x:v>https://1phutdangky.com/vay-tien-mat/vay-tien-mat-home-credit-online/</x:v>
      </x:c>
      <x:c r="D14" s="22" t="str">
        <x:v>Owned site</x:v>
      </x:c>
      <x:c r="E14" s="22" t="str">
        <x:v>Existing page, affiliate implementation, UI/content baseline</x:v>
      </x:c>
      <x:c r="F14" s="22" t="str">
        <x:v>Independent proof of Home Credit terms</x:v>
      </x:c>
      <x:c r="G14" s="22" t="str">
        <x:v>L-PILLAR</x:v>
      </x:c>
      <x:c r="H14" s="22" t="str">
        <x:v>Medium</x:v>
      </x:c>
      <x:c xmlns:x="http://schemas.openxmlformats.org/spreadsheetml/2006/main" r="I14" s="22" t="str">
        <x:v>2026-10-28</x:v>
      </x:c>
      <x:c r="J14" s="22" t="str">
        <x:v>Before Codex batch</x:v>
      </x:c>
      <x:c r="K14" s="22" t="str">
        <x:v>Owned implementation only</x:v>
      </x:c>
      <x:c r="L14" s="22" t="str">
        <x:v>Preserve existing site patterns.</x:v>
      </x:c>
    </x:row>
    <x:row r="15">
      <x:c r="A15" s="22" t="str">
        <x:v>S11</x:v>
      </x:c>
      <x:c r="B15" s="22" t="str">
        <x:v>1 Phút Đăng Ký – Giới thiệu</x:v>
      </x:c>
      <x:c r="C15" s="22" t="str">
        <x:v>https://1phutdangky.com/gioi-thieu/</x:v>
      </x:c>
      <x:c r="D15" s="22" t="str">
        <x:v>Owned site</x:v>
      </x:c>
      <x:c r="E15" s="22" t="str">
        <x:v>Editorial/affiliate disclosure positioning</x:v>
      </x:c>
      <x:c r="F15" s="22" t="str">
        <x:v>Product terms</x:v>
      </x:c>
      <x:c r="G15" s="22" t="str">
        <x:v>All</x:v>
      </x:c>
      <x:c r="H15" s="22" t="str">
        <x:v>Low</x:v>
      </x:c>
      <x:c r="I15" s="22" t="str">
        <x:v>2026-10-27</x:v>
      </x:c>
      <x:c r="J15" s="22" t="str">
        <x:v>Only if site policy changes</x:v>
      </x:c>
      <x:c r="K15" s="22" t="str">
        <x:v>Use for disclosure consistency</x:v>
      </x:c>
      <x:c r="L15" s="22" t="str">
        <x:v>1 Phút Đăng Ký is independent, not lender.</x:v>
      </x:c>
    </x:row>
  </x:sheetData>
  <x:mergeCells>
    <x:mergeCell ref="A1:L1"/>
    <x:mergeCell ref="A2:L2"/>
  </x:mergeCells>
  <x:pageMargins left="0.7" right="0.7" top="0.75" bottom="0.75" header="0.3" footer="0.3"/>
</x:worksheet>
</file>

<file path=xl/worksheets/sheet10.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7" hidden="0" customWidth="1"/>
    <x:col min="2" max="2" width="17" hidden="0" customWidth="1"/>
    <x:col min="3" max="3" width="7" hidden="0" customWidth="1"/>
    <x:col min="4" max="4" width="15" hidden="0" customWidth="1"/>
    <x:col min="5" max="5" width="50" hidden="0" customWidth="1"/>
    <x:col min="6" max="6" width="16" hidden="0" customWidth="1"/>
    <x:col min="7" max="7" width="26" hidden="0" customWidth="1"/>
    <x:col min="8" max="8" width="24" hidden="0" customWidth="1"/>
    <x:col min="9" max="9" width="26" hidden="0" customWidth="1"/>
    <x:col min="10" max="10" width="24" hidden="0" customWidth="1"/>
    <x:col min="11" max="11" width="16" hidden="0" customWidth="1"/>
    <x:col min="12" max="12" width="40" hidden="0" customWidth="1"/>
    <x:col min="13" max="13" width="48" hidden="0" customWidth="1"/>
    <x:col min="14" max="14" width="10" hidden="0" customWidth="1"/>
    <x:col min="15" max="15" width="16" hidden="0" customWidth="1"/>
    <x:col min="16" max="16" width="40" hidden="0" customWidth="1"/>
  </x:cols>
  <x:sheetData>
    <x:row r="1">
      <x:c r="A1" s="38" t="str">
        <x:v>HOME CREDIT – DAILY PUBLISHING SCHEDULE (60 DAYS)</x:v>
      </x:c>
      <x:c r="B1" s="38"/>
      <x:c r="C1" s="38"/>
      <x:c r="D1" s="38"/>
      <x:c r="E1" s="38"/>
      <x:c r="F1" s="38"/>
      <x:c r="G1" s="38"/>
      <x:c r="H1" s="38"/>
      <x:c r="I1" s="38"/>
      <x:c r="J1" s="38"/>
      <x:c r="K1" s="38"/>
      <x:c r="L1" s="38"/>
      <x:c r="M1" s="38"/>
      <x:c r="N1" s="38"/>
      <x:c r="O1" s="38"/>
      <x:c r="P1" s="38"/>
    </x:row>
    <x:row r="2">
      <x:c r="A2" s="12" t="str">
        <x:v>1 ngày = 1 content item, không phải 1 URL mới. New article chỉ tạo khi intent/source/utility gate pass; còn lại là update, section, FAQ, internal link, source refresh hoặc measurement.</x:v>
      </x:c>
      <x:c r="B2" s="12"/>
      <x:c r="C2" s="12"/>
      <x:c r="D2" s="12"/>
      <x:c r="E2" s="12"/>
      <x:c r="F2" s="12"/>
      <x:c r="G2" s="12"/>
      <x:c r="H2" s="12"/>
      <x:c r="I2" s="12"/>
      <x:c r="J2" s="12"/>
      <x:c r="K2" s="12"/>
      <x:c r="L2" s="12"/>
      <x:c r="M2" s="12"/>
      <x:c r="N2" s="12"/>
      <x:c r="O2" s="12"/>
      <x:c r="P2" s="12"/>
    </x:row>
    <x:row r="4">
      <x:c r="A4" s="20" t="str">
        <x:v>Day</x:v>
      </x:c>
      <x:c r="B4" s="20" t="str">
        <x:v>Date</x:v>
      </x:c>
      <x:c r="C4" s="20" t="str">
        <x:v>Week</x:v>
      </x:c>
      <x:c r="D4" s="20" t="str">
        <x:v>Asset ID</x:v>
      </x:c>
      <x:c r="E4" s="20" t="str">
        <x:v>Content title / Task</x:v>
      </x:c>
      <x:c r="F4" s="20" t="str">
        <x:v>Product</x:v>
      </x:c>
      <x:c r="G4" s="20" t="str">
        <x:v>Intent layer</x:v>
      </x:c>
      <x:c r="H4" s="20" t="str">
        <x:v>Publish mode</x:v>
      </x:c>
      <x:c r="I4" s="20" t="str">
        <x:v>URL action</x:v>
      </x:c>
      <x:c r="J4" s="20" t="str">
        <x:v>Canonical / Parent</x:v>
      </x:c>
      <x:c r="K4" s="20" t="str">
        <x:v>CTA level</x:v>
      </x:c>
      <x:c r="L4" s="20" t="str">
        <x:v>Source gate</x:v>
      </x:c>
      <x:c r="M4" s="20" t="str">
        <x:v>Codex action</x:v>
      </x:c>
      <x:c r="N4" s="20" t="str">
        <x:v>Priority</x:v>
      </x:c>
      <x:c r="O4" s="20" t="str">
        <x:v>Status</x:v>
      </x:c>
      <x:c r="P4" s="20" t="str">
        <x:v>Notes</x:v>
      </x:c>
    </x:row>
    <x:row r="5">
      <x:c r="A5" s="22" t="n">
        <x:v>1</x:v>
      </x:c>
      <x:c r="B5" s="46" t="n">
        <x:f>'Plan Settings'!$B$4+A5-1</x:f>
        <x:v>46323</x:v>
      </x:c>
      <x:c r="C5" s="22" t="n">
        <x:v>1</x:v>
      </x:c>
      <x:c r="D5" s="22" t="str">
        <x:v>L-PILLAR</x:v>
      </x:c>
      <x:c r="E5" s="22" t="str">
        <x:v>Update: Vay tiền mặt Home Credit online</x:v>
      </x:c>
      <x:c r="F5" s="22" t="str">
        <x:v>Cash Loan</x:v>
      </x:c>
      <x:c r="G5" s="22" t="str">
        <x:v>Transactional</x:v>
      </x:c>
      <x:c r="H5" s="22" t="str">
        <x:v>Update existing</x:v>
      </x:c>
      <x:c r="I5" s="22" t="str">
        <x:v>Keep URL</x:v>
      </x:c>
      <x:c r="J5" s="22" t="str">
        <x:v>Pillar L</x:v>
      </x:c>
      <x:c r="K5" s="22" t="str">
        <x:v>High</x:v>
      </x:c>
      <x:c r="L5" s="22" t="str">
        <x:v>S1/S2/S3</x:v>
      </x:c>
      <x:c r="M5" s="22" t="str">
        <x:v>Update title/H1/answer/cost/process/CTA/internal links</x:v>
      </x:c>
      <x:c r="N5" s="22" t="str">
        <x:v>P0</x:v>
      </x:c>
      <x:c r="O5" s="22" t="str">
        <x:v>Planned</x:v>
      </x:c>
      <x:c r="P5" s="22" t="str">
        <x:v>Core existing money page</x:v>
      </x:c>
    </x:row>
    <x:row r="6">
      <x:c r="A6" s="22" t="n">
        <x:v>2</x:v>
      </x:c>
      <x:c r="B6" s="46" t="n">
        <x:f>'Plan Settings'!$B$4+A6-1</x:f>
        <x:v>46324</x:v>
      </x:c>
      <x:c r="C6" s="22" t="n">
        <x:v>1</x:v>
      </x:c>
      <x:c r="D6" s="22" t="str">
        <x:v>C-PILLAR</x:v>
      </x:c>
      <x:c r="E6" s="22" t="str">
        <x:v>Publish: Mở thẻ tín dụng Home Credit online</x:v>
      </x:c>
      <x:c r="F6" s="22" t="str">
        <x:v>Credit Card</x:v>
      </x:c>
      <x:c r="G6" s="22" t="str">
        <x:v>Transactional</x:v>
      </x:c>
      <x:c r="H6" s="22" t="str">
        <x:v>New article</x:v>
      </x:c>
      <x:c r="I6" s="22" t="str">
        <x:v>Create candidate card URL</x:v>
      </x:c>
      <x:c r="J6" s="22" t="str">
        <x:v>Pillar C</x:v>
      </x:c>
      <x:c r="K6" s="22" t="str">
        <x:v>High</x:v>
      </x:c>
      <x:c r="L6" s="22" t="str">
        <x:v>S6/S7/S8</x:v>
      </x:c>
      <x:c r="M6" s="22" t="str">
        <x:v>Create full card pillar using existing UI pattern</x:v>
      </x:c>
      <x:c r="N6" s="22" t="str">
        <x:v>P0</x:v>
      </x:c>
      <x:c r="O6" s="22" t="str">
        <x:v>Planned</x:v>
      </x:c>
      <x:c r="P6" s="22" t="str">
        <x:v>Second money page</x:v>
      </x:c>
    </x:row>
    <x:row r="7">
      <x:c r="A7" s="22" t="n">
        <x:v>3</x:v>
      </x:c>
      <x:c r="B7" s="46" t="n">
        <x:f>'Plan Settings'!$B$4+A7-1</x:f>
        <x:v>46325</x:v>
      </x:c>
      <x:c r="C7" s="22" t="n">
        <x:v>1</x:v>
      </x:c>
      <x:c r="D7" s="22" t="str">
        <x:v>L-RATE</x:v>
      </x:c>
      <x:c r="E7" s="22" t="str">
        <x:v>Lãi suất vay tiền mặt Home Credit: cách đọc</x:v>
      </x:c>
      <x:c r="F7" s="22" t="str">
        <x:v>Cash Loan</x:v>
      </x:c>
      <x:c r="G7" s="22" t="str">
        <x:v>Cost</x:v>
      </x:c>
      <x:c r="H7" s="22" t="str">
        <x:v>New article</x:v>
      </x:c>
      <x:c r="I7" s="22" t="str">
        <x:v>Create support URL</x:v>
      </x:c>
      <x:c r="J7" s="22" t="str">
        <x:v>Pillar L</x:v>
      </x:c>
      <x:c r="K7" s="22" t="str">
        <x:v>Medium</x:v>
      </x:c>
      <x:c r="L7" s="22" t="str">
        <x:v>S1/S2</x:v>
      </x:c>
      <x:c r="M7" s="22" t="str">
        <x:v>Create rate education article</x:v>
      </x:c>
      <x:c r="N7" s="22" t="str">
        <x:v>P0</x:v>
      </x:c>
      <x:c r="O7" s="22" t="str">
        <x:v>Planned</x:v>
      </x:c>
      <x:c r="P7" s="22" t="str">
        <x:v>Flat vs declining balance</x:v>
      </x:c>
    </x:row>
    <x:row r="8">
      <x:c r="A8" s="22" t="n">
        <x:v>4</x:v>
      </x:c>
      <x:c r="B8" s="46" t="n">
        <x:f>'Plan Settings'!$B$4+A8-1</x:f>
        <x:v>46326</x:v>
      </x:c>
      <x:c r="C8" s="22" t="n">
        <x:v>1</x:v>
      </x:c>
      <x:c r="D8" s="22" t="str">
        <x:v>L-REJECT</x:v>
      </x:c>
      <x:c r="E8" s="22" t="str">
        <x:v>Hồ sơ vay Home Credit bị từ chối</x:v>
      </x:c>
      <x:c r="F8" s="22" t="str">
        <x:v>Cash Loan</x:v>
      </x:c>
      <x:c r="G8" s="22" t="str">
        <x:v>Troubleshooting</x:v>
      </x:c>
      <x:c r="H8" s="22" t="str">
        <x:v>New article</x:v>
      </x:c>
      <x:c r="I8" s="22" t="str">
        <x:v>Create support URL</x:v>
      </x:c>
      <x:c r="J8" s="22" t="str">
        <x:v>Pillar L</x:v>
      </x:c>
      <x:c r="K8" s="22" t="str">
        <x:v>Low-Medium</x:v>
      </x:c>
      <x:c r="L8" s="22" t="str">
        <x:v>S4/S5</x:v>
      </x:c>
      <x:c r="M8" s="22" t="str">
        <x:v>Create rejection/support article</x:v>
      </x:c>
      <x:c r="N8" s="22" t="str">
        <x:v>P0</x:v>
      </x:c>
      <x:c r="O8" s="22" t="str">
        <x:v>Planned</x:v>
      </x:c>
      <x:c r="P8" s="22" t="str">
        <x:v>No scoring bypass</x:v>
      </x:c>
    </x:row>
    <x:row r="9">
      <x:c r="A9" s="22" t="n">
        <x:v>5</x:v>
      </x:c>
      <x:c r="B9" s="46" t="n">
        <x:f>'Plan Settings'!$B$4+A9-1</x:f>
        <x:v>46327</x:v>
      </x:c>
      <x:c r="C9" s="22" t="n">
        <x:v>1</x:v>
      </x:c>
      <x:c r="D9" s="22" t="str">
        <x:v>L-COST</x:v>
      </x:c>
      <x:c r="E9" s="22" t="str">
        <x:v>Vay Home Credit có phí gì?</x:v>
      </x:c>
      <x:c r="F9" s="22" t="str">
        <x:v>Cash Loan</x:v>
      </x:c>
      <x:c r="G9" s="22" t="str">
        <x:v>Cost</x:v>
      </x:c>
      <x:c r="H9" s="22" t="str">
        <x:v>New article</x:v>
      </x:c>
      <x:c r="I9" s="22" t="str">
        <x:v>Create support URL</x:v>
      </x:c>
      <x:c r="J9" s="22" t="str">
        <x:v>Pillar L</x:v>
      </x:c>
      <x:c r="K9" s="22" t="str">
        <x:v>Medium</x:v>
      </x:c>
      <x:c r="L9" s="22" t="str">
        <x:v>S1 + contract lookup</x:v>
      </x:c>
      <x:c r="M9" s="22" t="str">
        <x:v>Create cost article</x:v>
      </x:c>
      <x:c r="N9" s="22" t="str">
        <x:v>P0</x:v>
      </x:c>
      <x:c r="O9" s="22" t="str">
        <x:v>Planned</x:v>
      </x:c>
      <x:c r="P9" s="22" t="str">
        <x:v>Insurance/fees/early settlement</x:v>
      </x:c>
    </x:row>
    <x:row r="10">
      <x:c r="A10" s="22" t="n">
        <x:v>6</x:v>
      </x:c>
      <x:c r="B10" s="46" t="n">
        <x:f>'Plan Settings'!$B$4+A10-1</x:f>
        <x:v>46328</x:v>
      </x:c>
      <x:c r="C10" s="22" t="n">
        <x:v>1</x:v>
      </x:c>
      <x:c r="D10" s="22" t="str">
        <x:v>C-COST</x:v>
      </x:c>
      <x:c r="E10" s="22" t="str">
        <x:v>Phí và lãi suất thẻ tín dụng Home Credit</x:v>
      </x:c>
      <x:c r="F10" s="22" t="str">
        <x:v>Credit Card</x:v>
      </x:c>
      <x:c r="G10" s="22" t="str">
        <x:v>Cost</x:v>
      </x:c>
      <x:c r="H10" s="22" t="str">
        <x:v>New article</x:v>
      </x:c>
      <x:c r="I10" s="22" t="str">
        <x:v>Create support URL</x:v>
      </x:c>
      <x:c r="J10" s="22" t="str">
        <x:v>Pillar C</x:v>
      </x:c>
      <x:c r="K10" s="22" t="str">
        <x:v>Medium</x:v>
      </x:c>
      <x:c r="L10" s="22" t="str">
        <x:v>S8</x:v>
      </x:c>
      <x:c r="M10" s="22" t="str">
        <x:v>Create current-tariff article</x:v>
      </x:c>
      <x:c r="N10" s="22" t="str">
        <x:v>P0</x:v>
      </x:c>
      <x:c r="O10" s="22" t="str">
        <x:v>Planned</x:v>
      </x:c>
      <x:c r="P10" s="22" t="str">
        <x:v>Latest effective tariff only</x:v>
      </x:c>
    </x:row>
    <x:row r="11">
      <x:c r="A11" s="22" t="n">
        <x:v>7</x:v>
      </x:c>
      <x:c r="B11" s="46" t="n">
        <x:f>'Plan Settings'!$B$4+A11-1</x:f>
        <x:v>46329</x:v>
      </x:c>
      <x:c r="C11" s="22" t="n">
        <x:v>1</x:v>
      </x:c>
      <x:c r="D11" s="22" t="str">
        <x:v>C-CASH</x:v>
      </x:c>
      <x:c r="E11" s="22" t="str">
        <x:v>Rút tiền mặt từ thẻ tín dụng Home Credit</x:v>
      </x:c>
      <x:c r="F11" s="22" t="str">
        <x:v>Credit Card</x:v>
      </x:c>
      <x:c r="G11" s="22" t="str">
        <x:v>Cash advance</x:v>
      </x:c>
      <x:c r="H11" s="22" t="str">
        <x:v>New article</x:v>
      </x:c>
      <x:c r="I11" s="22" t="str">
        <x:v>Create support URL</x:v>
      </x:c>
      <x:c r="J11" s="22" t="str">
        <x:v>Pillar C</x:v>
      </x:c>
      <x:c r="K11" s="22" t="str">
        <x:v>Low</x:v>
      </x:c>
      <x:c r="L11" s="22" t="str">
        <x:v>S7/S8</x:v>
      </x:c>
      <x:c r="M11" s="22" t="str">
        <x:v>Create cost-first cash-advance article</x:v>
      </x:c>
      <x:c r="N11" s="22" t="str">
        <x:v>P0</x:v>
      </x:c>
      <x:c r="O11" s="22" t="str">
        <x:v>Planned</x:v>
      </x:c>
      <x:c r="P11" s="22" t="str">
        <x:v>Do not encourage borrowing via cash advance</x:v>
      </x:c>
    </x:row>
    <x:row r="12">
      <x:c r="A12" s="22" t="n">
        <x:v>8</x:v>
      </x:c>
      <x:c r="B12" s="46" t="n">
        <x:f>'Plan Settings'!$B$4+A12-1</x:f>
        <x:v>46330</x:v>
      </x:c>
      <x:c r="C12" s="22" t="n">
        <x:v>2</x:v>
      </x:c>
      <x:c r="D12" s="22" t="str">
        <x:v>C-INSTALL</x:v>
      </x:c>
      <x:c r="E12" s="22" t="str">
        <x:v>Trả góp thẻ tín dụng Home Credit</x:v>
      </x:c>
      <x:c r="F12" s="22" t="str">
        <x:v>Credit Card</x:v>
      </x:c>
      <x:c r="G12" s="22" t="str">
        <x:v>Installment</x:v>
      </x:c>
      <x:c r="H12" s="22" t="str">
        <x:v>New article</x:v>
      </x:c>
      <x:c r="I12" s="22" t="str">
        <x:v>Create support URL</x:v>
      </x:c>
      <x:c r="J12" s="22" t="str">
        <x:v>Pillar C</x:v>
      </x:c>
      <x:c r="K12" s="22" t="str">
        <x:v>Low</x:v>
      </x:c>
      <x:c r="L12" s="22" t="str">
        <x:v>S8</x:v>
      </x:c>
      <x:c r="M12" s="22" t="str">
        <x:v>Create current-terms installment article</x:v>
      </x:c>
      <x:c r="N12" s="22" t="str">
        <x:v>P0</x:v>
      </x:c>
      <x:c r="O12" s="22" t="str">
        <x:v>Planned</x:v>
      </x:c>
      <x:c r="P12" s="22" t="str">
        <x:v>Latest terms only</x:v>
      </x:c>
    </x:row>
    <x:row r="13">
      <x:c r="A13" s="22" t="n">
        <x:v>9</x:v>
      </x:c>
      <x:c r="B13" s="46" t="n">
        <x:f>'Plan Settings'!$B$4+A13-1</x:f>
        <x:v>46331</x:v>
      </x:c>
      <x:c r="C13" s="22" t="n">
        <x:v>2</x:v>
      </x:c>
      <x:c r="D13" s="22" t="str">
        <x:v>L-NEED</x:v>
      </x:c>
      <x:c r="E13" s="22" t="str">
        <x:v>Vay Home Credit cần gì?</x:v>
      </x:c>
      <x:c r="F13" s="22" t="str">
        <x:v>Cash Loan</x:v>
      </x:c>
      <x:c r="G13" s="22" t="str">
        <x:v>Eligibility</x:v>
      </x:c>
      <x:c r="H13" s="22" t="str">
        <x:v>New article</x:v>
      </x:c>
      <x:c r="I13" s="22" t="str">
        <x:v>Create support URL</x:v>
      </x:c>
      <x:c r="J13" s="22" t="str">
        <x:v>Pillar L</x:v>
      </x:c>
      <x:c r="K13" s="22" t="str">
        <x:v>Medium</x:v>
      </x:c>
      <x:c r="L13" s="22" t="str">
        <x:v>S3</x:v>
      </x:c>
      <x:c r="M13" s="22" t="str">
        <x:v>Create checklist article</x:v>
      </x:c>
      <x:c r="N13" s="22" t="str">
        <x:v>P1</x:v>
      </x:c>
      <x:c r="O13" s="22" t="str">
        <x:v>Planned</x:v>
      </x:c>
      <x:c r="P13" s="22" t="str">
        <x:v>Qualification</x:v>
      </x:c>
    </x:row>
    <x:row r="14">
      <x:c r="A14" s="22" t="n">
        <x:v>10</x:v>
      </x:c>
      <x:c r="B14" s="46" t="n">
        <x:f>'Plan Settings'!$B$4+A14-1</x:f>
        <x:v>46332</x:v>
      </x:c>
      <x:c r="C14" s="22" t="n">
        <x:v>2</x:v>
      </x:c>
      <x:c r="D14" s="22" t="str">
        <x:v>L-TIME</x:v>
      </x:c>
      <x:c r="E14" s="22" t="str">
        <x:v>Home Credit duyệt hồ sơ và giải ngân bao lâu?</x:v>
      </x:c>
      <x:c r="F14" s="22" t="str">
        <x:v>Cash Loan</x:v>
      </x:c>
      <x:c r="G14" s="22" t="str">
        <x:v>Timing</x:v>
      </x:c>
      <x:c r="H14" s="22" t="str">
        <x:v>Conditional article</x:v>
      </x:c>
      <x:c r="I14" s="22" t="str">
        <x:v>Conditional URL</x:v>
      </x:c>
      <x:c r="J14" s="22" t="str">
        <x:v>Pillar L</x:v>
      </x:c>
      <x:c r="K14" s="22" t="str">
        <x:v>Low-Medium</x:v>
      </x:c>
      <x:c r="L14" s="22" t="str">
        <x:v>S1</x:v>
      </x:c>
      <x:c r="M14" s="22" t="str">
        <x:v>Create only if enough standalone depth</x:v>
      </x:c>
      <x:c r="N14" s="22" t="str">
        <x:v>P1</x:v>
      </x:c>
      <x:c r="O14" s="22" t="str">
        <x:v>Planned</x:v>
      </x:c>
      <x:c r="P14" s="22" t="str">
        <x:v>Could be FAQ</x:v>
      </x:c>
    </x:row>
    <x:row r="15">
      <x:c r="A15" s="22" t="n">
        <x:v>11</x:v>
      </x:c>
      <x:c r="B15" s="46" t="n">
        <x:f>'Plan Settings'!$B$4+A15-1</x:f>
        <x:v>46333</x:v>
      </x:c>
      <x:c r="C15" s="22" t="n">
        <x:v>2</x:v>
      </x:c>
      <x:c r="D15" s="22" t="str">
        <x:v>L-PAY</x:v>
      </x:c>
      <x:c r="E15" s="22" t="str">
        <x:v>Thanh toán khoản vay Home Credit</x:v>
      </x:c>
      <x:c r="F15" s="22" t="str">
        <x:v>Cash Loan</x:v>
      </x:c>
      <x:c r="G15" s="22" t="str">
        <x:v>Servicing</x:v>
      </x:c>
      <x:c r="H15" s="22" t="str">
        <x:v>New article</x:v>
      </x:c>
      <x:c r="I15" s="22" t="str">
        <x:v>Create support URL</x:v>
      </x:c>
      <x:c r="J15" s="22" t="str">
        <x:v>Pillar L</x:v>
      </x:c>
      <x:c r="K15" s="22" t="str">
        <x:v>Low</x:v>
      </x:c>
      <x:c r="L15" s="22" t="str">
        <x:v>S9</x:v>
      </x:c>
      <x:c r="M15" s="22" t="str">
        <x:v>Create payment/contract-management article</x:v>
      </x:c>
      <x:c r="N15" s="22" t="str">
        <x:v>P1</x:v>
      </x:c>
      <x:c r="O15" s="22" t="str">
        <x:v>Planned</x:v>
      </x:c>
      <x:c r="P15" s="22" t="str">
        <x:v>Post-action</x:v>
      </x:c>
    </x:row>
    <x:row r="16">
      <x:c r="A16" s="22" t="n">
        <x:v>12</x:v>
      </x:c>
      <x:c r="B16" s="46" t="n">
        <x:f>'Plan Settings'!$B$4+A16-1</x:f>
        <x:v>46334</x:v>
      </x:c>
      <x:c r="C16" s="22" t="n">
        <x:v>2</x:v>
      </x:c>
      <x:c r="D16" s="22" t="str">
        <x:v>C-NEED</x:v>
      </x:c>
      <x:c r="E16" s="22" t="str">
        <x:v>Điều kiện mở thẻ tín dụng Home Credit</x:v>
      </x:c>
      <x:c r="F16" s="22" t="str">
        <x:v>Credit Card</x:v>
      </x:c>
      <x:c r="G16" s="22" t="str">
        <x:v>Eligibility</x:v>
      </x:c>
      <x:c r="H16" s="22" t="str">
        <x:v>New article</x:v>
      </x:c>
      <x:c r="I16" s="22" t="str">
        <x:v>Create support URL</x:v>
      </x:c>
      <x:c r="J16" s="22" t="str">
        <x:v>Pillar C</x:v>
      </x:c>
      <x:c r="K16" s="22" t="str">
        <x:v>Medium</x:v>
      </x:c>
      <x:c r="L16" s="22" t="str">
        <x:v>S6</x:v>
      </x:c>
      <x:c r="M16" s="22" t="str">
        <x:v>Create eligibility article</x:v>
      </x:c>
      <x:c r="N16" s="22" t="str">
        <x:v>P1</x:v>
      </x:c>
      <x:c r="O16" s="22" t="str">
        <x:v>Planned</x:v>
      </x:c>
      <x:c r="P16" s="22" t="str">
        <x:v>No approval promise</x:v>
      </x:c>
    </x:row>
    <x:row r="17">
      <x:c r="A17" s="22" t="n">
        <x:v>13</x:v>
      </x:c>
      <x:c r="B17" s="46" t="n">
        <x:f>'Plan Settings'!$B$4+A17-1</x:f>
        <x:v>46335</x:v>
      </x:c>
      <x:c r="C17" s="22" t="n">
        <x:v>2</x:v>
      </x:c>
      <x:c r="D17" s="22" t="str">
        <x:v>C-STATEMENT</x:v>
      </x:c>
      <x:c r="E17" s="22" t="str">
        <x:v>Sao kê, ngày đến hạn và thanh toán tối thiểu</x:v>
      </x:c>
      <x:c r="F17" s="22" t="str">
        <x:v>Credit Card</x:v>
      </x:c>
      <x:c r="G17" s="22" t="str">
        <x:v>Billing</x:v>
      </x:c>
      <x:c r="H17" s="22" t="str">
        <x:v>New article</x:v>
      </x:c>
      <x:c r="I17" s="22" t="str">
        <x:v>Create support URL</x:v>
      </x:c>
      <x:c r="J17" s="22" t="str">
        <x:v>Pillar C</x:v>
      </x:c>
      <x:c r="K17" s="22" t="str">
        <x:v>Low</x:v>
      </x:c>
      <x:c r="L17" s="22" t="str">
        <x:v>S7/S8</x:v>
      </x:c>
      <x:c r="M17" s="22" t="str">
        <x:v>Create servicing article</x:v>
      </x:c>
      <x:c r="N17" s="22" t="str">
        <x:v>P1</x:v>
      </x:c>
      <x:c r="O17" s="22" t="str">
        <x:v>Planned</x:v>
      </x:c>
      <x:c r="P17" s="22" t="str">
        <x:v>Current rules</x:v>
      </x:c>
    </x:row>
    <x:row r="18">
      <x:c r="A18" s="22" t="n">
        <x:v>14</x:v>
      </x:c>
      <x:c r="B18" s="46" t="n">
        <x:f>'Plan Settings'!$B$4+A18-1</x:f>
        <x:v>46336</x:v>
      </x:c>
      <x:c r="C18" s="22" t="n">
        <x:v>2</x:v>
      </x:c>
      <x:c r="D18" s="22" t="str">
        <x:v>C-ACTIVATE</x:v>
      </x:c>
      <x:c r="E18" s="22" t="str">
        <x:v>Cách kích hoạt thẻ tín dụng Home Credit</x:v>
      </x:c>
      <x:c r="F18" s="22" t="str">
        <x:v>Credit Card</x:v>
      </x:c>
      <x:c r="G18" s="22" t="str">
        <x:v>Activation</x:v>
      </x:c>
      <x:c r="H18" s="22" t="str">
        <x:v>Conditional article</x:v>
      </x:c>
      <x:c r="I18" s="22" t="str">
        <x:v>Conditional URL</x:v>
      </x:c>
      <x:c r="J18" s="22" t="str">
        <x:v>Pillar C</x:v>
      </x:c>
      <x:c r="K18" s="22" t="str">
        <x:v>Low</x:v>
      </x:c>
      <x:c r="L18" s="22" t="str">
        <x:v>S7</x:v>
      </x:c>
      <x:c r="M18" s="22" t="str">
        <x:v>Create if SERP/utility justify, otherwise section</x:v>
      </x:c>
      <x:c r="N18" s="22" t="str">
        <x:v>P1</x:v>
      </x:c>
      <x:c r="O18" s="22" t="str">
        <x:v>Planned</x:v>
      </x:c>
      <x:c r="P18" s="22" t="str">
        <x:v>Post-approval</x:v>
      </x:c>
    </x:row>
    <x:row r="19">
      <x:c r="A19" s="22" t="n">
        <x:v>15</x:v>
      </x:c>
      <x:c r="B19" s="46" t="n">
        <x:f>'Plan Settings'!$B$4+A19-1</x:f>
        <x:v>46337</x:v>
      </x:c>
      <x:c r="C19" s="22" t="n">
        <x:v>3</x:v>
      </x:c>
      <x:c r="D19" s="22" t="str">
        <x:v>B-COMPARE</x:v>
      </x:c>
      <x:c r="E19" s="22" t="str">
        <x:v>Vay tiền mặt hay thẻ tín dụng Home Credit?</x:v>
      </x:c>
      <x:c r="F19" s="22" t="str">
        <x:v>Bridge</x:v>
      </x:c>
      <x:c r="G19" s="22" t="str">
        <x:v>Clarification</x:v>
      </x:c>
      <x:c r="H19" s="22" t="str">
        <x:v>New article</x:v>
      </x:c>
      <x:c r="I19" s="22" t="str">
        <x:v>Create bridge URL</x:v>
      </x:c>
      <x:c r="J19" s="22" t="str">
        <x:v>L↔C</x:v>
      </x:c>
      <x:c r="K19" s="22" t="str">
        <x:v>Low-Medium</x:v>
      </x:c>
      <x:c r="L19" s="22" t="str">
        <x:v>S1/S6/S8</x:v>
      </x:c>
      <x:c r="M19" s="22" t="str">
        <x:v>Create neutral comparison + owner links</x:v>
      </x:c>
      <x:c r="N19" s="22" t="str">
        <x:v>P1</x:v>
      </x:c>
      <x:c r="O19" s="22" t="str">
        <x:v>Planned</x:v>
      </x:c>
      <x:c r="P19" s="22" t="str">
        <x:v>No personalized recommendation</x:v>
      </x:c>
    </x:row>
    <x:row r="20">
      <x:c r="A20" s="22" t="n">
        <x:v>16</x:v>
      </x:c>
      <x:c r="B20" s="46" t="n">
        <x:f>'Plan Settings'!$B$4+A20-1</x:f>
        <x:v>46338</x:v>
      </x:c>
      <x:c r="C20" s="22" t="n">
        <x:v>3</x:v>
      </x:c>
      <x:c r="D20" s="22" t="str">
        <x:v>L-AGE</x:v>
      </x:c>
      <x:c r="E20" s="22" t="str">
        <x:v>Bao nhiêu tuổi được vay tiền mặt Home Credit?</x:v>
      </x:c>
      <x:c r="F20" s="22" t="str">
        <x:v>Cash Loan</x:v>
      </x:c>
      <x:c r="G20" s="22" t="str">
        <x:v>Eligibility</x:v>
      </x:c>
      <x:c r="H20" s="22" t="str">
        <x:v>Section/article review</x:v>
      </x:c>
      <x:c r="I20" s="22" t="str">
        <x:v>No new URL by default</x:v>
      </x:c>
      <x:c r="J20" s="22" t="str">
        <x:v>L-NEED</x:v>
      </x:c>
      <x:c r="K20" s="22" t="str">
        <x:v>Medium</x:v>
      </x:c>
      <x:c r="L20" s="22" t="str">
        <x:v>S3 + current Home Credit age page</x:v>
      </x:c>
      <x:c r="M20" s="22" t="str">
        <x:v>Add age section; split only if evidence warrants</x:v>
      </x:c>
      <x:c r="N20" s="22" t="str">
        <x:v>P1</x:v>
      </x:c>
      <x:c r="O20" s="22" t="str">
        <x:v>Planned</x:v>
      </x:c>
      <x:c r="P20" s="22" t="str">
        <x:v>YMYL</x:v>
      </x:c>
    </x:row>
    <x:row r="21">
      <x:c r="A21" s="22" t="n">
        <x:v>17</x:v>
      </x:c>
      <x:c r="B21" s="46" t="n">
        <x:f>'Plan Settings'!$B$4+A21-1</x:f>
        <x:v>46339</x:v>
      </x:c>
      <x:c r="C21" s="22" t="n">
        <x:v>3</x:v>
      </x:c>
      <x:c r="D21" s="22" t="str">
        <x:v>L-INCOME</x:v>
      </x:c>
      <x:c r="E21" s="22" t="str">
        <x:v>Vay Home Credit có cần chứng minh thu nhập?</x:v>
      </x:c>
      <x:c r="F21" s="22" t="str">
        <x:v>Cash Loan</x:v>
      </x:c>
      <x:c r="G21" s="22" t="str">
        <x:v>Eligibility</x:v>
      </x:c>
      <x:c r="H21" s="22" t="str">
        <x:v>Section first</x:v>
      </x:c>
      <x:c r="I21" s="22" t="str">
        <x:v>No new URL by default</x:v>
      </x:c>
      <x:c r="J21" s="22" t="str">
        <x:v>L-NEED</x:v>
      </x:c>
      <x:c r="K21" s="22" t="str">
        <x:v>Medium</x:v>
      </x:c>
      <x:c r="L21" s="22" t="str">
        <x:v>S3</x:v>
      </x:c>
      <x:c r="M21" s="22" t="str">
        <x:v>Expand docs section</x:v>
      </x:c>
      <x:c r="N21" s="22" t="str">
        <x:v>P1</x:v>
      </x:c>
      <x:c r="O21" s="22" t="str">
        <x:v>Planned</x:v>
      </x:c>
      <x:c r="P21" s="22" t="str">
        <x:v>Different by requested limit</x:v>
      </x:c>
    </x:row>
    <x:row r="22">
      <x:c r="A22" s="22" t="n">
        <x:v>18</x:v>
      </x:c>
      <x:c r="B22" s="46" t="n">
        <x:f>'Plan Settings'!$B$4+A22-1</x:f>
        <x:v>46340</x:v>
      </x:c>
      <x:c r="C22" s="22" t="n">
        <x:v>3</x:v>
      </x:c>
      <x:c r="D22" s="22" t="str">
        <x:v>L-LIMIT</x:v>
      </x:c>
      <x:c r="E22" s="22" t="str">
        <x:v>Hạn mức và kỳ hạn vay Home Credit</x:v>
      </x:c>
      <x:c r="F22" s="22" t="str">
        <x:v>Cash Loan</x:v>
      </x:c>
      <x:c r="G22" s="22" t="str">
        <x:v>Limit/term</x:v>
      </x:c>
      <x:c r="H22" s="22" t="str">
        <x:v>Section/table</x:v>
      </x:c>
      <x:c r="I22" s="22" t="str">
        <x:v>No new URL</x:v>
      </x:c>
      <x:c r="J22" s="22" t="str">
        <x:v>L-PILLAR</x:v>
      </x:c>
      <x:c r="K22" s="22" t="str">
        <x:v>Medium</x:v>
      </x:c>
      <x:c r="L22" s="22" t="str">
        <x:v>S1/S2</x:v>
      </x:c>
      <x:c r="M22" s="22" t="str">
        <x:v>Update product table</x:v>
      </x:c>
      <x:c r="N22" s="22" t="str">
        <x:v>P1</x:v>
      </x:c>
      <x:c r="O22" s="22" t="str">
        <x:v>Planned</x:v>
      </x:c>
      <x:c r="P22" s="22" t="str">
        <x:v>Dynamic</x:v>
      </x:c>
    </x:row>
    <x:row r="23">
      <x:c r="A23" s="22" t="n">
        <x:v>19</x:v>
      </x:c>
      <x:c r="B23" s="46" t="n">
        <x:f>'Plan Settings'!$B$4+A23-1</x:f>
        <x:v>46341</x:v>
      </x:c>
      <x:c r="C23" s="22" t="n">
        <x:v>3</x:v>
      </x:c>
      <x:c r="D23" s="22" t="str">
        <x:v>L-REAPPLY</x:v>
      </x:c>
      <x:c r="E23" s="22" t="str">
        <x:v>Bị từ chối thì khi nào đăng ký lại?</x:v>
      </x:c>
      <x:c r="F23" s="22" t="str">
        <x:v>Cash Loan</x:v>
      </x:c>
      <x:c r="G23" s="22" t="str">
        <x:v>Troubleshooting</x:v>
      </x:c>
      <x:c r="H23" s="22" t="str">
        <x:v>Section</x:v>
      </x:c>
      <x:c r="I23" s="22" t="str">
        <x:v>No new URL</x:v>
      </x:c>
      <x:c r="J23" s="22" t="str">
        <x:v>L-REJECT</x:v>
      </x:c>
      <x:c r="K23" s="22" t="str">
        <x:v>Low</x:v>
      </x:c>
      <x:c r="L23" s="22" t="str">
        <x:v>S4/S5</x:v>
      </x:c>
      <x:c r="M23" s="22" t="str">
        <x:v>Add cautious answer</x:v>
      </x:c>
      <x:c r="N23" s="22" t="str">
        <x:v>P1</x:v>
      </x:c>
      <x:c r="O23" s="22" t="str">
        <x:v>Planned</x:v>
      </x:c>
      <x:c r="P23" s="22" t="str">
        <x:v>Sources phrase differently</x:v>
      </x:c>
    </x:row>
    <x:row r="24">
      <x:c r="A24" s="22" t="n">
        <x:v>20</x:v>
      </x:c>
      <x:c r="B24" s="46" t="n">
        <x:f>'Plan Settings'!$B$4+A24-1</x:f>
        <x:v>46342</x:v>
      </x:c>
      <x:c r="C24" s="22" t="n">
        <x:v>3</x:v>
      </x:c>
      <x:c r="D24" s="22" t="str">
        <x:v>L-REPEAT</x:v>
      </x:c>
      <x:c r="E24" s="22" t="str">
        <x:v>Đang có khoản vay Home Credit có vay thêm được không?</x:v>
      </x:c>
      <x:c r="F24" s="22" t="str">
        <x:v>Cash Loan</x:v>
      </x:c>
      <x:c r="G24" s="22" t="str">
        <x:v>Repeat eligibility</x:v>
      </x:c>
      <x:c r="H24" s="22" t="str">
        <x:v>Conditional article</x:v>
      </x:c>
      <x:c r="I24" s="22" t="str">
        <x:v>Conditional URL</x:v>
      </x:c>
      <x:c r="J24" s="22" t="str">
        <x:v>Pillar L</x:v>
      </x:c>
      <x:c r="K24" s="22" t="str">
        <x:v>Low-Medium</x:v>
      </x:c>
      <x:c r="L24" s="22" t="str">
        <x:v>S4</x:v>
      </x:c>
      <x:c r="M24" s="22" t="str">
        <x:v>Create only if SERP distinct; otherwise FAQ</x:v>
      </x:c>
      <x:c r="N24" s="22" t="str">
        <x:v>P1</x:v>
      </x:c>
      <x:c r="O24" s="22" t="str">
        <x:v>Planned</x:v>
      </x:c>
      <x:c r="P24" s="22" t="str">
        <x:v>Offer-dependent</x:v>
      </x:c>
    </x:row>
    <x:row r="25">
      <x:c r="A25" s="22" t="n">
        <x:v>21</x:v>
      </x:c>
      <x:c r="B25" s="46" t="n">
        <x:f>'Plan Settings'!$B$4+A25-1</x:f>
        <x:v>46343</x:v>
      </x:c>
      <x:c r="C25" s="22" t="n">
        <x:v>3</x:v>
      </x:c>
      <x:c r="D25" s="22" t="str">
        <x:v>L-LATE</x:v>
      </x:c>
      <x:c r="E25" s="22" t="str">
        <x:v>Trễ hạn thanh toán Home Credit phải làm sao?</x:v>
      </x:c>
      <x:c r="F25" s="22" t="str">
        <x:v>Cash Loan</x:v>
      </x:c>
      <x:c r="G25" s="22" t="str">
        <x:v>Troubleshooting</x:v>
      </x:c>
      <x:c r="H25" s="22" t="str">
        <x:v>Section/support</x:v>
      </x:c>
      <x:c r="I25" s="22" t="str">
        <x:v>No new URL by default</x:v>
      </x:c>
      <x:c r="J25" s="22" t="str">
        <x:v>L-PAY</x:v>
      </x:c>
      <x:c r="K25" s="22" t="str">
        <x:v>Low</x:v>
      </x:c>
      <x:c r="L25" s="22" t="str">
        <x:v>Official current guidance</x:v>
      </x:c>
      <x:c r="M25" s="22" t="str">
        <x:v>Expand late-payment section</x:v>
      </x:c>
      <x:c r="N25" s="22" t="str">
        <x:v>P1</x:v>
      </x:c>
      <x:c r="O25" s="22" t="str">
        <x:v>Planned</x:v>
      </x:c>
      <x:c r="P25" s="22" t="str">
        <x:v>No avoidance advice</x:v>
      </x:c>
    </x:row>
    <x:row r="26">
      <x:c r="A26" s="22" t="n">
        <x:v>22</x:v>
      </x:c>
      <x:c r="B26" s="46" t="n">
        <x:f>'Plan Settings'!$B$4+A26-1</x:f>
        <x:v>46344</x:v>
      </x:c>
      <x:c r="C26" s="22" t="n">
        <x:v>4</x:v>
      </x:c>
      <x:c r="D26" s="22" t="str">
        <x:v>L-EARLY</x:v>
      </x:c>
      <x:c r="E26" s="22" t="str">
        <x:v>Tất toán Home Credit trước hạn có phí không?</x:v>
      </x:c>
      <x:c r="F26" s="22" t="str">
        <x:v>Cash Loan</x:v>
      </x:c>
      <x:c r="G26" s="22" t="str">
        <x:v>Cost/servicing</x:v>
      </x:c>
      <x:c r="H26" s="22" t="str">
        <x:v>Conditional article</x:v>
      </x:c>
      <x:c r="I26" s="22" t="str">
        <x:v>Conditional URL</x:v>
      </x:c>
      <x:c r="J26" s="22" t="str">
        <x:v>L-COST</x:v>
      </x:c>
      <x:c r="K26" s="22" t="str">
        <x:v>Low</x:v>
      </x:c>
      <x:c r="L26" s="22" t="str">
        <x:v>Latest contract/fee terms</x:v>
      </x:c>
      <x:c r="M26" s="22" t="str">
        <x:v>Create if enough evidence; else section</x:v>
      </x:c>
      <x:c r="N26" s="22" t="str">
        <x:v>P1</x:v>
      </x:c>
      <x:c r="O26" s="22" t="str">
        <x:v>Planned</x:v>
      </x:c>
      <x:c r="P26" s="22" t="str">
        <x:v>Contract-specific</x:v>
      </x:c>
    </x:row>
    <x:row r="27">
      <x:c r="A27" s="22" t="n">
        <x:v>23</x:v>
      </x:c>
      <x:c r="B27" s="46" t="n">
        <x:f>'Plan Settings'!$B$4+A27-1</x:f>
        <x:v>46345</x:v>
      </x:c>
      <x:c r="C27" s="22" t="n">
        <x:v>4</x:v>
      </x:c>
      <x:c r="D27" s="22" t="str">
        <x:v>L-INSURANCE</x:v>
      </x:c>
      <x:c r="E27" s="22" t="str">
        <x:v>Bảo hiểm khoản vay Home Credit có bắt buộc không?</x:v>
      </x:c>
      <x:c r="F27" s="22" t="str">
        <x:v>Cash Loan</x:v>
      </x:c>
      <x:c r="G27" s="22" t="str">
        <x:v>Cost/decision</x:v>
      </x:c>
      <x:c r="H27" s="22" t="str">
        <x:v>Section</x:v>
      </x:c>
      <x:c r="I27" s="22" t="str">
        <x:v>No new URL</x:v>
      </x:c>
      <x:c r="J27" s="22" t="str">
        <x:v>L-COST</x:v>
      </x:c>
      <x:c r="K27" s="22" t="str">
        <x:v>Medium</x:v>
      </x:c>
      <x:c r="L27" s="22" t="str">
        <x:v>S1 + current contract</x:v>
      </x:c>
      <x:c r="M27" s="22" t="str">
        <x:v>Add clear optional/contract condition answer</x:v>
      </x:c>
      <x:c r="N27" s="22" t="str">
        <x:v>P1</x:v>
      </x:c>
      <x:c r="O27" s="22" t="str">
        <x:v>Planned</x:v>
      </x:c>
      <x:c r="P27" s="22" t="str">
        <x:v>Source-sensitive</x:v>
      </x:c>
    </x:row>
    <x:row r="28">
      <x:c r="A28" s="22" t="n">
        <x:v>24</x:v>
      </x:c>
      <x:c r="B28" s="46" t="n">
        <x:f>'Plan Settings'!$B$4+A28-1</x:f>
        <x:v>46346</x:v>
      </x:c>
      <x:c r="C28" s="22" t="n">
        <x:v>4</x:v>
      </x:c>
      <x:c r="D28" s="22" t="str">
        <x:v>L-SAFETY</x:v>
      </x:c>
      <x:c r="E28" s="22" t="str">
        <x:v>Link/app vay Home Credit nào là chính thức?</x:v>
      </x:c>
      <x:c r="F28" s="22" t="str">
        <x:v>Cash Loan</x:v>
      </x:c>
      <x:c r="G28" s="22" t="str">
        <x:v>Trust</x:v>
      </x:c>
      <x:c r="H28" s="22" t="str">
        <x:v>Section/support</x:v>
      </x:c>
      <x:c r="I28" s="22" t="str">
        <x:v>No new URL by default</x:v>
      </x:c>
      <x:c r="J28" s="22" t="str">
        <x:v>L-PILLAR</x:v>
      </x:c>
      <x:c r="K28" s="22" t="str">
        <x:v>Medium</x:v>
      </x:c>
      <x:c r="L28" s="22" t="str">
        <x:v>S1/S11</x:v>
      </x:c>
      <x:c r="M28" s="22" t="str">
        <x:v>Add affiliate disclosure + official-channel safety</x:v>
      </x:c>
      <x:c r="N28" s="22" t="str">
        <x:v>P1</x:v>
      </x:c>
      <x:c r="O28" s="22" t="str">
        <x:v>Planned</x:v>
      </x:c>
      <x:c r="P28" s="22" t="str">
        <x:v>Trust layer</x:v>
      </x:c>
    </x:row>
    <x:row r="29">
      <x:c r="A29" s="22" t="n">
        <x:v>25</x:v>
      </x:c>
      <x:c r="B29" s="46" t="n">
        <x:f>'Plan Settings'!$B$4+A29-1</x:f>
        <x:v>46347</x:v>
      </x:c>
      <x:c r="C29" s="22" t="n">
        <x:v>4</x:v>
      </x:c>
      <x:c r="D29" s="22" t="str">
        <x:v>L-FAQ</x:v>
      </x:c>
      <x:c r="E29" s="22" t="str">
        <x:v>Mở rộng FAQ vay Home Credit từ query mới</x:v>
      </x:c>
      <x:c r="F29" s="22" t="str">
        <x:v>Cash Loan</x:v>
      </x:c>
      <x:c r="G29" s="22" t="str">
        <x:v>Question expansion</x:v>
      </x:c>
      <x:c r="H29" s="22" t="str">
        <x:v>Update existing</x:v>
      </x:c>
      <x:c r="I29" s="22" t="str">
        <x:v>No new URL</x:v>
      </x:c>
      <x:c r="J29" s="22" t="str">
        <x:v>L-PILLAR</x:v>
      </x:c>
      <x:c r="K29" s="22" t="str">
        <x:v>Medium</x:v>
      </x:c>
      <x:c r="L29" s="22" t="str">
        <x:v>Search Console + S1/S2</x:v>
      </x:c>
      <x:c r="M29" s="22" t="str">
        <x:v>Add only useful sourced questions</x:v>
      </x:c>
      <x:c r="N29" s="22" t="str">
        <x:v>P1</x:v>
      </x:c>
      <x:c r="O29" s="22" t="str">
        <x:v>Planned</x:v>
      </x:c>
      <x:c r="P29" s="22" t="str">
        <x:v>No thin pages</x:v>
      </x:c>
    </x:row>
    <x:row r="30">
      <x:c r="A30" s="22" t="n">
        <x:v>26</x:v>
      </x:c>
      <x:c r="B30" s="46" t="n">
        <x:f>'Plan Settings'!$B$4+A30-1</x:f>
        <x:v>46348</x:v>
      </x:c>
      <x:c r="C30" s="22" t="n">
        <x:v>4</x:v>
      </x:c>
      <x:c r="D30" s="22" t="str">
        <x:v>C-LIMIT</x:v>
      </x:c>
      <x:c r="E30" s="22" t="str">
        <x:v>Hạn mức thẻ Home Credit bao nhiêu?</x:v>
      </x:c>
      <x:c r="F30" s="22" t="str">
        <x:v>Credit Card</x:v>
      </x:c>
      <x:c r="G30" s="22" t="str">
        <x:v>Limit</x:v>
      </x:c>
      <x:c r="H30" s="22" t="str">
        <x:v>Section</x:v>
      </x:c>
      <x:c r="I30" s="22" t="str">
        <x:v>No new URL</x:v>
      </x:c>
      <x:c r="J30" s="22" t="str">
        <x:v>C-PILLAR</x:v>
      </x:c>
      <x:c r="K30" s="22" t="str">
        <x:v>Medium</x:v>
      </x:c>
      <x:c r="L30" s="22" t="str">
        <x:v>S7</x:v>
      </x:c>
      <x:c r="M30" s="22" t="str">
        <x:v>Add direct answer with underwriting caveat</x:v>
      </x:c>
      <x:c r="N30" s="22" t="str">
        <x:v>P1</x:v>
      </x:c>
      <x:c r="O30" s="22" t="str">
        <x:v>Planned</x:v>
      </x:c>
      <x:c r="P30" s="22" t="str">
        <x:v>Dynamic</x:v>
      </x:c>
    </x:row>
    <x:row r="31">
      <x:c r="A31" s="22" t="n">
        <x:v>27</x:v>
      </x:c>
      <x:c r="B31" s="46" t="n">
        <x:f>'Plan Settings'!$B$4+A31-1</x:f>
        <x:v>46349</x:v>
      </x:c>
      <x:c r="C31" s="22" t="n">
        <x:v>4</x:v>
      </x:c>
      <x:c r="D31" s="22" t="str">
        <x:v>C-INCOME</x:v>
      </x:c>
      <x:c r="E31" s="22" t="str">
        <x:v>Mở thẻ Home Credit có cần chứng minh thu nhập?</x:v>
      </x:c>
      <x:c r="F31" s="22" t="str">
        <x:v>Credit Card</x:v>
      </x:c>
      <x:c r="G31" s="22" t="str">
        <x:v>Eligibility</x:v>
      </x:c>
      <x:c r="H31" s="22" t="str">
        <x:v>FAQ</x:v>
      </x:c>
      <x:c r="I31" s="22" t="str">
        <x:v>No new URL</x:v>
      </x:c>
      <x:c r="J31" s="22" t="str">
        <x:v>C-NEED</x:v>
      </x:c>
      <x:c r="K31" s="22" t="str">
        <x:v>Medium</x:v>
      </x:c>
      <x:c r="L31" s="22" t="str">
        <x:v>S6</x:v>
      </x:c>
      <x:c r="M31" s="22" t="str">
        <x:v>Add direct answer + approval caveat</x:v>
      </x:c>
      <x:c r="N31" s="22" t="str">
        <x:v>P1</x:v>
      </x:c>
      <x:c r="O31" s="22" t="str">
        <x:v>Planned</x:v>
      </x:c>
      <x:c r="P31" s="22" t="str">
        <x:v>Current product claim</x:v>
      </x:c>
    </x:row>
    <x:row r="32">
      <x:c r="A32" s="22" t="n">
        <x:v>28</x:v>
      </x:c>
      <x:c r="B32" s="46" t="n">
        <x:f>'Plan Settings'!$B$4+A32-1</x:f>
        <x:v>46350</x:v>
      </x:c>
      <x:c r="C32" s="22" t="n">
        <x:v>4</x:v>
      </x:c>
      <x:c r="D32" s="22" t="str">
        <x:v>C-DUE</x:v>
      </x:c>
      <x:c r="E32" s="22" t="str">
        <x:v>Thẻ Home Credit thanh toán ngày nào?</x:v>
      </x:c>
      <x:c r="F32" s="22" t="str">
        <x:v>Credit Card</x:v>
      </x:c>
      <x:c r="G32" s="22" t="str">
        <x:v>Billing</x:v>
      </x:c>
      <x:c r="H32" s="22" t="str">
        <x:v>Section/FAQ</x:v>
      </x:c>
      <x:c r="I32" s="22" t="str">
        <x:v>No new URL</x:v>
      </x:c>
      <x:c r="J32" s="22" t="str">
        <x:v>C-STATEMENT</x:v>
      </x:c>
      <x:c r="K32" s="22" t="str">
        <x:v>Low</x:v>
      </x:c>
      <x:c r="L32" s="22" t="str">
        <x:v>S7</x:v>
      </x:c>
      <x:c r="M32" s="22" t="str">
        <x:v>Expand due-date answer</x:v>
      </x:c>
      <x:c r="N32" s="22" t="str">
        <x:v>P1</x:v>
      </x:c>
      <x:c r="O32" s="22" t="str">
        <x:v>Planned</x:v>
      </x:c>
      <x:c r="P32" s="22" t="str">
        <x:v>Servicing</x:v>
      </x:c>
    </x:row>
    <x:row r="33">
      <x:c r="A33" s="22" t="n">
        <x:v>29</x:v>
      </x:c>
      <x:c r="B33" s="46" t="n">
        <x:f>'Plan Settings'!$B$4+A33-1</x:f>
        <x:v>46351</x:v>
      </x:c>
      <x:c r="C33" s="22" t="n">
        <x:v>5</x:v>
      </x:c>
      <x:c r="D33" s="22" t="str">
        <x:v>C-MIN</x:v>
      </x:c>
      <x:c r="E33" s="22" t="str">
        <x:v>Thanh toán tối thiểu thẻ Home Credit là bao nhiêu?</x:v>
      </x:c>
      <x:c r="F33" s="22" t="str">
        <x:v>Credit Card</x:v>
      </x:c>
      <x:c r="G33" s="22" t="str">
        <x:v>Billing/cost</x:v>
      </x:c>
      <x:c r="H33" s="22" t="str">
        <x:v>Section/article review</x:v>
      </x:c>
      <x:c r="I33" s="22" t="str">
        <x:v>No new URL by default</x:v>
      </x:c>
      <x:c r="J33" s="22" t="str">
        <x:v>C-STATEMENT</x:v>
      </x:c>
      <x:c r="K33" s="22" t="str">
        <x:v>Low</x:v>
      </x:c>
      <x:c r="L33" s="22" t="str">
        <x:v>S7/S8</x:v>
      </x:c>
      <x:c r="M33" s="22" t="str">
        <x:v>Use current formula; split only if query data strong</x:v>
      </x:c>
      <x:c r="N33" s="22" t="str">
        <x:v>P0</x:v>
      </x:c>
      <x:c r="O33" s="22" t="str">
        <x:v>Planned</x:v>
      </x:c>
      <x:c r="P33" s="22" t="str">
        <x:v>High cost relevance</x:v>
      </x:c>
    </x:row>
    <x:row r="34">
      <x:c r="A34" s="22" t="n">
        <x:v>30</x:v>
      </x:c>
      <x:c r="B34" s="46" t="n">
        <x:f>'Plan Settings'!$B$4+A34-1</x:f>
        <x:v>46352</x:v>
      </x:c>
      <x:c r="C34" s="22" t="n">
        <x:v>5</x:v>
      </x:c>
      <x:c r="D34" s="22" t="str">
        <x:v>C-STATEMENT2</x:v>
      </x:c>
      <x:c r="E34" s="22" t="str">
        <x:v>Cách xem sao kê và dư nợ thẻ Home Credit</x:v>
      </x:c>
      <x:c r="F34" s="22" t="str">
        <x:v>Credit Card</x:v>
      </x:c>
      <x:c r="G34" s="22" t="str">
        <x:v>Servicing</x:v>
      </x:c>
      <x:c r="H34" s="22" t="str">
        <x:v>Section/article review</x:v>
      </x:c>
      <x:c r="I34" s="22" t="str">
        <x:v>No new URL by default</x:v>
      </x:c>
      <x:c r="J34" s="22" t="str">
        <x:v>C-STATEMENT</x:v>
      </x:c>
      <x:c r="K34" s="22" t="str">
        <x:v>Low</x:v>
      </x:c>
      <x:c r="L34" s="22" t="str">
        <x:v>S7 + current blog</x:v>
      </x:c>
      <x:c r="M34" s="22" t="str">
        <x:v>Expand how-to</x:v>
      </x:c>
      <x:c r="N34" s="22" t="str">
        <x:v>P1</x:v>
      </x:c>
      <x:c r="O34" s="22" t="str">
        <x:v>Planned</x:v>
      </x:c>
      <x:c r="P34" s="22" t="str">
        <x:v>App UI may change</x:v>
      </x:c>
    </x:row>
    <x:row r="35">
      <x:c r="A35" s="22" t="n">
        <x:v>31</x:v>
      </x:c>
      <x:c r="B35" s="46" t="n">
        <x:f>'Plan Settings'!$B$4+A35-1</x:f>
        <x:v>46353</x:v>
      </x:c>
      <x:c r="C35" s="22" t="n">
        <x:v>5</x:v>
      </x:c>
      <x:c r="D35" s="22" t="str">
        <x:v>C-LIMIT-UP</x:v>
      </x:c>
      <x:c r="E35" s="22" t="str">
        <x:v>Có thể tăng hạn mức thẻ Home Credit không?</x:v>
      </x:c>
      <x:c r="F35" s="22" t="str">
        <x:v>Credit Card</x:v>
      </x:c>
      <x:c r="G35" s="22" t="str">
        <x:v>Limit management</x:v>
      </x:c>
      <x:c r="H35" s="22" t="str">
        <x:v>FAQ</x:v>
      </x:c>
      <x:c r="I35" s="22" t="str">
        <x:v>No new URL</x:v>
      </x:c>
      <x:c r="J35" s="22" t="str">
        <x:v>C-PILLAR</x:v>
      </x:c>
      <x:c r="K35" s="22" t="str">
        <x:v>Low</x:v>
      </x:c>
      <x:c r="L35" s="22" t="str">
        <x:v>S7</x:v>
      </x:c>
      <x:c r="M35" s="22" t="str">
        <x:v>Add system-assessment answer</x:v>
      </x:c>
      <x:c r="N35" s="22" t="str">
        <x:v>P1</x:v>
      </x:c>
      <x:c r="O35" s="22" t="str">
        <x:v>Planned</x:v>
      </x:c>
      <x:c r="P35" s="22" t="str">
        <x:v>No guarantee</x:v>
      </x:c>
    </x:row>
    <x:row r="36">
      <x:c r="A36" s="22" t="n">
        <x:v>32</x:v>
      </x:c>
      <x:c r="B36" s="46" t="n">
        <x:f>'Plan Settings'!$B$4+A36-1</x:f>
        <x:v>46354</x:v>
      </x:c>
      <x:c r="C36" s="22" t="n">
        <x:v>5</x:v>
      </x:c>
      <x:c r="D36" s="22" t="str">
        <x:v>C-LATE</x:v>
      </x:c>
      <x:c r="E36" s="22" t="str">
        <x:v>Thanh toán trễ thẻ Home Credit có sao không?</x:v>
      </x:c>
      <x:c r="F36" s="22" t="str">
        <x:v>Credit Card</x:v>
      </x:c>
      <x:c r="G36" s="22" t="str">
        <x:v>Late payment</x:v>
      </x:c>
      <x:c r="H36" s="22" t="str">
        <x:v>Section/support</x:v>
      </x:c>
      <x:c r="I36" s="22" t="str">
        <x:v>No new URL by default</x:v>
      </x:c>
      <x:c r="J36" s="22" t="str">
        <x:v>C-STATEMENT</x:v>
      </x:c>
      <x:c r="K36" s="22" t="str">
        <x:v>Low</x:v>
      </x:c>
      <x:c r="L36" s="22" t="str">
        <x:v>S7/S8</x:v>
      </x:c>
      <x:c r="M36" s="22" t="str">
        <x:v>Add consequences + support path</x:v>
      </x:c>
      <x:c r="N36" s="22" t="str">
        <x:v>P1</x:v>
      </x:c>
      <x:c r="O36" s="22" t="str">
        <x:v>Planned</x:v>
      </x:c>
      <x:c r="P36" s="22" t="str">
        <x:v>YMYL</x:v>
      </x:c>
    </x:row>
    <x:row r="37">
      <x:c r="A37" s="22" t="n">
        <x:v>33</x:v>
      </x:c>
      <x:c r="B37" s="46" t="n">
        <x:f>'Plan Settings'!$B$4+A37-1</x:f>
        <x:v>46355</x:v>
      </x:c>
      <x:c r="C37" s="22" t="n">
        <x:v>5</x:v>
      </x:c>
      <x:c r="D37" s="22" t="str">
        <x:v>C-TYPES</x:v>
      </x:c>
      <x:c r="E37" s="22" t="str">
        <x:v>Thẻ tín dụng trực tuyến và thẻ Home Credit khác nhau?</x:v>
      </x:c>
      <x:c r="F37" s="22" t="str">
        <x:v>Credit Card</x:v>
      </x:c>
      <x:c r="G37" s="22" t="str">
        <x:v>Product clarification</x:v>
      </x:c>
      <x:c r="H37" s="22" t="str">
        <x:v>Section/article review</x:v>
      </x:c>
      <x:c r="I37" s="22" t="str">
        <x:v>Conditional URL</x:v>
      </x:c>
      <x:c r="J37" s="22" t="str">
        <x:v>C-PILLAR</x:v>
      </x:c>
      <x:c r="K37" s="22" t="str">
        <x:v>Low</x:v>
      </x:c>
      <x:c r="L37" s="22" t="str">
        <x:v>S8</x:v>
      </x:c>
      <x:c r="M37" s="22" t="str">
        <x:v>Compare only current tariff/product differences</x:v>
      </x:c>
      <x:c r="N37" s="22" t="str">
        <x:v>P1</x:v>
      </x:c>
      <x:c r="O37" s="22" t="str">
        <x:v>Planned</x:v>
      </x:c>
      <x:c r="P37" s="22" t="str">
        <x:v>High volatility</x:v>
      </x:c>
    </x:row>
    <x:row r="38">
      <x:c r="A38" s="22" t="n">
        <x:v>34</x:v>
      </x:c>
      <x:c r="B38" s="46" t="n">
        <x:f>'Plan Settings'!$B$4+A38-1</x:f>
        <x:v>46356</x:v>
      </x:c>
      <x:c r="C38" s="22" t="n">
        <x:v>5</x:v>
      </x:c>
      <x:c r="D38" s="22" t="str">
        <x:v>C-SAFETY</x:v>
      </x:c>
      <x:c r="E38" s="22" t="str">
        <x:v>Link mở thẻ Home Credit có an toàn không?</x:v>
      </x:c>
      <x:c r="F38" s="22" t="str">
        <x:v>Credit Card</x:v>
      </x:c>
      <x:c r="G38" s="22" t="str">
        <x:v>Trust</x:v>
      </x:c>
      <x:c r="H38" s="22" t="str">
        <x:v>Section/support</x:v>
      </x:c>
      <x:c r="I38" s="22" t="str">
        <x:v>No new URL by default</x:v>
      </x:c>
      <x:c r="J38" s="22" t="str">
        <x:v>C-PILLAR</x:v>
      </x:c>
      <x:c r="K38" s="22" t="str">
        <x:v>Medium</x:v>
      </x:c>
      <x:c r="L38" s="22" t="str">
        <x:v>S6/S11</x:v>
      </x:c>
      <x:c r="M38" s="22" t="str">
        <x:v>Add affiliate/official-channel disclosure</x:v>
      </x:c>
      <x:c r="N38" s="22" t="str">
        <x:v>P1</x:v>
      </x:c>
      <x:c r="O38" s="22" t="str">
        <x:v>Planned</x:v>
      </x:c>
      <x:c r="P38" s="22" t="str">
        <x:v>Trust conversion</x:v>
      </x:c>
    </x:row>
    <x:row r="39">
      <x:c r="A39" s="22" t="n">
        <x:v>35</x:v>
      </x:c>
      <x:c r="B39" s="46" t="n">
        <x:f>'Plan Settings'!$B$4+A39-1</x:f>
        <x:v>46357</x:v>
      </x:c>
      <x:c r="C39" s="22" t="n">
        <x:v>5</x:v>
      </x:c>
      <x:c r="D39" s="22" t="str">
        <x:v>C-FAQ</x:v>
      </x:c>
      <x:c r="E39" s="22" t="str">
        <x:v>Mở rộng FAQ thẻ Home Credit từ query mới</x:v>
      </x:c>
      <x:c r="F39" s="22" t="str">
        <x:v>Credit Card</x:v>
      </x:c>
      <x:c r="G39" s="22" t="str">
        <x:v>Question expansion</x:v>
      </x:c>
      <x:c r="H39" s="22" t="str">
        <x:v>Update existing</x:v>
      </x:c>
      <x:c r="I39" s="22" t="str">
        <x:v>No new URL</x:v>
      </x:c>
      <x:c r="J39" s="22" t="str">
        <x:v>C-PILLAR</x:v>
      </x:c>
      <x:c r="K39" s="22" t="str">
        <x:v>Medium</x:v>
      </x:c>
      <x:c r="L39" s="22" t="str">
        <x:v>Search Console + S7/S8</x:v>
      </x:c>
      <x:c r="M39" s="22" t="str">
        <x:v>Add sourced FAQs</x:v>
      </x:c>
      <x:c r="N39" s="22" t="str">
        <x:v>P1</x:v>
      </x:c>
      <x:c r="O39" s="22" t="str">
        <x:v>Planned</x:v>
      </x:c>
      <x:c r="P39" s="22" t="str">
        <x:v>No thin pages</x:v>
      </x:c>
    </x:row>
    <x:row r="40">
      <x:c r="A40" s="22" t="n">
        <x:v>36</x:v>
      </x:c>
      <x:c r="B40" s="46" t="n">
        <x:f>'Plan Settings'!$B$4+A40-1</x:f>
        <x:v>46358</x:v>
      </x:c>
      <x:c r="C40" s="22" t="n">
        <x:v>6</x:v>
      </x:c>
      <x:c r="D40" s="22" t="str">
        <x:v>L-SOURCE</x:v>
      </x:c>
      <x:c r="E40" s="22" t="str">
        <x:v>Rà nguồn và con số Pillar L</x:v>
      </x:c>
      <x:c r="F40" s="22" t="str">
        <x:v>Cash Loan</x:v>
      </x:c>
      <x:c r="G40" s="22" t="str">
        <x:v>Trust/freshness</x:v>
      </x:c>
      <x:c r="H40" s="22" t="str">
        <x:v>Update existing</x:v>
      </x:c>
      <x:c r="I40" s="22" t="str">
        <x:v>No new URL</x:v>
      </x:c>
      <x:c r="J40" s="22" t="str">
        <x:v>Pillar L</x:v>
      </x:c>
      <x:c r="K40" s="22" t="str">
        <x:v>High</x:v>
      </x:c>
      <x:c r="L40" s="22" t="str">
        <x:v>S1/S2/S3</x:v>
      </x:c>
      <x:c r="M40" s="22" t="str">
        <x:v>Refresh only changed facts/date</x:v>
      </x:c>
      <x:c r="N40" s="22" t="str">
        <x:v>P0</x:v>
      </x:c>
      <x:c r="O40" s="22" t="str">
        <x:v>Planned</x:v>
      </x:c>
      <x:c r="P40" s="22" t="str">
        <x:v>No fake freshness</x:v>
      </x:c>
    </x:row>
    <x:row r="41">
      <x:c r="A41" s="22" t="n">
        <x:v>37</x:v>
      </x:c>
      <x:c r="B41" s="46" t="n">
        <x:f>'Plan Settings'!$B$4+A41-1</x:f>
        <x:v>46359</x:v>
      </x:c>
      <x:c r="C41" s="22" t="n">
        <x:v>6</x:v>
      </x:c>
      <x:c r="D41" s="22" t="str">
        <x:v>C-SOURCE</x:v>
      </x:c>
      <x:c r="E41" s="22" t="str">
        <x:v>Rà biểu phí mới nhất Pillar C</x:v>
      </x:c>
      <x:c r="F41" s="22" t="str">
        <x:v>Credit Card</x:v>
      </x:c>
      <x:c r="G41" s="22" t="str">
        <x:v>Trust/freshness</x:v>
      </x:c>
      <x:c r="H41" s="22" t="str">
        <x:v>Update existing</x:v>
      </x:c>
      <x:c r="I41" s="22" t="str">
        <x:v>No new URL</x:v>
      </x:c>
      <x:c r="J41" s="22" t="str">
        <x:v>Pillar C</x:v>
      </x:c>
      <x:c r="K41" s="22" t="str">
        <x:v>High</x:v>
      </x:c>
      <x:c r="L41" s="22" t="str">
        <x:v>S8</x:v>
      </x:c>
      <x:c r="M41" s="22" t="str">
        <x:v>Check latest effective tariff</x:v>
      </x:c>
      <x:c r="N41" s="22" t="str">
        <x:v>P0</x:v>
      </x:c>
      <x:c r="O41" s="22" t="str">
        <x:v>Planned</x:v>
      </x:c>
      <x:c r="P41" s="22" t="str">
        <x:v>Very high volatility</x:v>
      </x:c>
    </x:row>
    <x:row r="42">
      <x:c r="A42" s="22" t="n">
        <x:v>38</x:v>
      </x:c>
      <x:c r="B42" s="46" t="n">
        <x:f>'Plan Settings'!$B$4+A42-1</x:f>
        <x:v>46360</x:v>
      </x:c>
      <x:c r="C42" s="22" t="n">
        <x:v>6</x:v>
      </x:c>
      <x:c r="D42" s="22" t="str">
        <x:v>LINK-L</x:v>
      </x:c>
      <x:c r="E42" s="22" t="str">
        <x:v>Tối ưu internal links loan cluster</x:v>
      </x:c>
      <x:c r="F42" s="22" t="str">
        <x:v>Cash Loan</x:v>
      </x:c>
      <x:c r="G42" s="22" t="str">
        <x:v>Internal linking</x:v>
      </x:c>
      <x:c r="H42" s="22" t="str">
        <x:v>Update existing</x:v>
      </x:c>
      <x:c r="I42" s="22" t="str">
        <x:v>No new URL</x:v>
      </x:c>
      <x:c r="J42" s="22" t="str">
        <x:v>Loan cluster</x:v>
      </x:c>
      <x:c r="K42" s="22" t="str">
        <x:v>Medium</x:v>
      </x:c>
      <x:c r="L42" s="22" t="str">
        <x:v>Current graph</x:v>
      </x:c>
      <x:c r="M42" s="22" t="str">
        <x:v>Add descriptive anchors by intent</x:v>
      </x:c>
      <x:c r="N42" s="22" t="str">
        <x:v>P1</x:v>
      </x:c>
      <x:c r="O42" s="22" t="str">
        <x:v>Planned</x:v>
      </x:c>
      <x:c r="P42" s="22" t="str">
        <x:v>No overlinking</x:v>
      </x:c>
    </x:row>
    <x:row r="43">
      <x:c r="A43" s="22" t="n">
        <x:v>39</x:v>
      </x:c>
      <x:c r="B43" s="46" t="n">
        <x:f>'Plan Settings'!$B$4+A43-1</x:f>
        <x:v>46361</x:v>
      </x:c>
      <x:c r="C43" s="22" t="n">
        <x:v>6</x:v>
      </x:c>
      <x:c r="D43" s="22" t="str">
        <x:v>LINK-C</x:v>
      </x:c>
      <x:c r="E43" s="22" t="str">
        <x:v>Tối ưu internal links card cluster</x:v>
      </x:c>
      <x:c r="F43" s="22" t="str">
        <x:v>Credit Card</x:v>
      </x:c>
      <x:c r="G43" s="22" t="str">
        <x:v>Internal linking</x:v>
      </x:c>
      <x:c r="H43" s="22" t="str">
        <x:v>Update existing</x:v>
      </x:c>
      <x:c r="I43" s="22" t="str">
        <x:v>No new URL</x:v>
      </x:c>
      <x:c r="J43" s="22" t="str">
        <x:v>Card cluster</x:v>
      </x:c>
      <x:c r="K43" s="22" t="str">
        <x:v>Medium</x:v>
      </x:c>
      <x:c r="L43" s="22" t="str">
        <x:v>Current graph</x:v>
      </x:c>
      <x:c r="M43" s="22" t="str">
        <x:v>Add descriptive anchors by intent</x:v>
      </x:c>
      <x:c r="N43" s="22" t="str">
        <x:v>P1</x:v>
      </x:c>
      <x:c r="O43" s="22" t="str">
        <x:v>Planned</x:v>
      </x:c>
      <x:c r="P43" s="22" t="str">
        <x:v>No overlinking</x:v>
      </x:c>
    </x:row>
    <x:row r="44">
      <x:c r="A44" s="22" t="n">
        <x:v>40</x:v>
      </x:c>
      <x:c r="B44" s="46" t="n">
        <x:f>'Plan Settings'!$B$4+A44-1</x:f>
        <x:v>46362</x:v>
      </x:c>
      <x:c r="C44" s="22" t="n">
        <x:v>6</x:v>
      </x:c>
      <x:c r="D44" s="22" t="str">
        <x:v>LINK-BRIDGE</x:v>
      </x:c>
      <x:c r="E44" s="22" t="str">
        <x:v>Tối ưu Loan ↔ Card bridge links</x:v>
      </x:c>
      <x:c r="F44" s="22" t="str">
        <x:v>Bridge</x:v>
      </x:c>
      <x:c r="G44" s="22" t="str">
        <x:v>Internal linking</x:v>
      </x:c>
      <x:c r="H44" s="22" t="str">
        <x:v>Update existing</x:v>
      </x:c>
      <x:c r="I44" s="22" t="str">
        <x:v>No new URL</x:v>
      </x:c>
      <x:c r="J44" s="22" t="str">
        <x:v>L/C/Bridge</x:v>
      </x:c>
      <x:c r="K44" s="22" t="str">
        <x:v>Medium</x:v>
      </x:c>
      <x:c r="L44" s="22" t="str">
        <x:v>Current graph</x:v>
      </x:c>
      <x:c r="M44" s="22" t="str">
        <x:v>Route product ambiguity</x:v>
      </x:c>
      <x:c r="N44" s="22" t="str">
        <x:v>P1</x:v>
      </x:c>
      <x:c r="O44" s="22" t="str">
        <x:v>Planned</x:v>
      </x:c>
      <x:c r="P44" s="22" t="str">
        <x:v>Entity clarity</x:v>
      </x:c>
    </x:row>
    <x:row r="45">
      <x:c r="A45" s="22" t="n">
        <x:v>41</x:v>
      </x:c>
      <x:c r="B45" s="46" t="n">
        <x:f>'Plan Settings'!$B$4+A45-1</x:f>
        <x:v>46363</x:v>
      </x:c>
      <x:c r="C45" s="22" t="n">
        <x:v>6</x:v>
      </x:c>
      <x:c r="D45" s="22" t="str">
        <x:v>CTA-L</x:v>
      </x:c>
      <x:c r="E45" s="22" t="str">
        <x:v>Review affiliate CTA trên loan pages</x:v>
      </x:c>
      <x:c r="F45" s="22" t="str">
        <x:v>Cash Loan</x:v>
      </x:c>
      <x:c r="G45" s="22" t="str">
        <x:v>Conversion</x:v>
      </x:c>
      <x:c r="H45" s="22" t="str">
        <x:v>Update existing</x:v>
      </x:c>
      <x:c r="I45" s="22" t="str">
        <x:v>No new URL</x:v>
      </x:c>
      <x:c r="J45" s="22" t="str">
        <x:v>Loan cluster</x:v>
      </x:c>
      <x:c r="K45" s="22" t="str">
        <x:v>High</x:v>
      </x:c>
      <x:c r="L45" s="22" t="str">
        <x:v>CTA Matrix + analytics</x:v>
      </x:c>
      <x:c r="M45" s="22" t="str">
        <x:v>Adjust position/copy only from evidence</x:v>
      </x:c>
      <x:c r="N45" s="22" t="str">
        <x:v>P0</x:v>
      </x:c>
      <x:c r="O45" s="22" t="str">
        <x:v>Planned</x:v>
      </x:c>
      <x:c r="P45" s="22" t="str">
        <x:v>No dark patterns</x:v>
      </x:c>
    </x:row>
    <x:row r="46">
      <x:c r="A46" s="22" t="n">
        <x:v>42</x:v>
      </x:c>
      <x:c r="B46" s="46" t="n">
        <x:f>'Plan Settings'!$B$4+A46-1</x:f>
        <x:v>46364</x:v>
      </x:c>
      <x:c r="C46" s="22" t="n">
        <x:v>6</x:v>
      </x:c>
      <x:c r="D46" s="22" t="str">
        <x:v>CTA-C</x:v>
      </x:c>
      <x:c r="E46" s="22" t="str">
        <x:v>Review affiliate CTA trên card pages</x:v>
      </x:c>
      <x:c r="F46" s="22" t="str">
        <x:v>Credit Card</x:v>
      </x:c>
      <x:c r="G46" s="22" t="str">
        <x:v>Conversion</x:v>
      </x:c>
      <x:c r="H46" s="22" t="str">
        <x:v>Update existing</x:v>
      </x:c>
      <x:c r="I46" s="22" t="str">
        <x:v>No new URL</x:v>
      </x:c>
      <x:c r="J46" s="22" t="str">
        <x:v>Card cluster</x:v>
      </x:c>
      <x:c r="K46" s="22" t="str">
        <x:v>High</x:v>
      </x:c>
      <x:c r="L46" s="22" t="str">
        <x:v>CTA Matrix + analytics</x:v>
      </x:c>
      <x:c r="M46" s="22" t="str">
        <x:v>Adjust position/copy only from evidence</x:v>
      </x:c>
      <x:c r="N46" s="22" t="str">
        <x:v>P0</x:v>
      </x:c>
      <x:c r="O46" s="22" t="str">
        <x:v>Planned</x:v>
      </x:c>
      <x:c r="P46" s="22" t="str">
        <x:v>No old promos</x:v>
      </x:c>
    </x:row>
    <x:row r="47">
      <x:c r="A47" s="22" t="n">
        <x:v>43</x:v>
      </x:c>
      <x:c r="B47" s="46" t="n">
        <x:f>'Plan Settings'!$B$4+A47-1</x:f>
        <x:v>46365</x:v>
      </x:c>
      <x:c r="C47" s="22" t="n">
        <x:v>7</x:v>
      </x:c>
      <x:c r="D47" s="22" t="str">
        <x:v>TRACKING</x:v>
      </x:c>
      <x:c r="E47" s="22" t="str">
        <x:v>Rà event tracking Home Credit</x:v>
      </x:c>
      <x:c r="F47" s="22" t="str">
        <x:v>All</x:v>
      </x:c>
      <x:c r="G47" s="22" t="str">
        <x:v>Measurement</x:v>
      </x:c>
      <x:c r="H47" s="22" t="str">
        <x:v>Update implementation</x:v>
      </x:c>
      <x:c r="I47" s="22" t="str">
        <x:v>No new URL</x:v>
      </x:c>
      <x:c r="J47" s="22" t="str">
        <x:v>All</x:v>
      </x:c>
      <x:c r="K47" s="22" t="str">
        <x:v>N/A</x:v>
      </x:c>
      <x:c r="L47" s="22" t="str">
        <x:v>Existing analytics</x:v>
      </x:c>
      <x:c r="M47" s="22" t="str">
        <x:v>Map CTA/outbound/support events</x:v>
      </x:c>
      <x:c r="N47" s="22" t="str">
        <x:v>P1</x:v>
      </x:c>
      <x:c r="O47" s="22" t="str">
        <x:v>Planned</x:v>
      </x:c>
      <x:c r="P47" s="22" t="str">
        <x:v>Reuse current analytics</x:v>
      </x:c>
    </x:row>
    <x:row r="48">
      <x:c r="A48" s="22" t="n">
        <x:v>44</x:v>
      </x:c>
      <x:c r="B48" s="46" t="n">
        <x:f>'Plan Settings'!$B$4+A48-1</x:f>
        <x:v>46366</x:v>
      </x:c>
      <x:c r="C48" s="22" t="n">
        <x:v>7</x:v>
      </x:c>
      <x:c r="D48" s="22" t="str">
        <x:v>SCHEMA</x:v>
      </x:c>
      <x:c r="E48" s="22" t="str">
        <x:v>Rà metadata/schema Home Credit cluster</x:v>
      </x:c>
      <x:c r="F48" s="22" t="str">
        <x:v>All</x:v>
      </x:c>
      <x:c r="G48" s="22" t="str">
        <x:v>Technical SEO</x:v>
      </x:c>
      <x:c r="H48" s="22" t="str">
        <x:v>Update existing</x:v>
      </x:c>
      <x:c r="I48" s="22" t="str">
        <x:v>No new URL</x:v>
      </x:c>
      <x:c r="J48" s="22" t="str">
        <x:v>All</x:v>
      </x:c>
      <x:c r="K48" s="22" t="str">
        <x:v>N/A</x:v>
      </x:c>
      <x:c r="L48" s="22" t="str">
        <x:v>Existing project patterns</x:v>
      </x:c>
      <x:c r="M48" s="22" t="str">
        <x:v>Ensure Article/Breadcrumb/etc match visible content</x:v>
      </x:c>
      <x:c r="N48" s="22" t="str">
        <x:v>P1</x:v>
      </x:c>
      <x:c r="O48" s="22" t="str">
        <x:v>Planned</x:v>
      </x:c>
      <x:c r="P48" s="22" t="str">
        <x:v>No invented schema</x:v>
      </x:c>
    </x:row>
    <x:row r="49">
      <x:c r="A49" s="22" t="n">
        <x:v>45</x:v>
      </x:c>
      <x:c r="B49" s="46" t="n">
        <x:f>'Plan Settings'!$B$4+A49-1</x:f>
        <x:v>46367</x:v>
      </x:c>
      <x:c r="C49" s="22" t="n">
        <x:v>7</x:v>
      </x:c>
      <x:c r="D49" s="22" t="str">
        <x:v>MOBILE</x:v>
      </x:c>
      <x:c r="E49" s="22" t="str">
        <x:v>Rà mobile UI các bảng phí/lãi</x:v>
      </x:c>
      <x:c r="F49" s="22" t="str">
        <x:v>All</x:v>
      </x:c>
      <x:c r="G49" s="22" t="str">
        <x:v>UX</x:v>
      </x:c>
      <x:c r="H49" s="22" t="str">
        <x:v>Update existing</x:v>
      </x:c>
      <x:c r="I49" s="22" t="str">
        <x:v>No new URL</x:v>
      </x:c>
      <x:c r="J49" s="22" t="str">
        <x:v>All</x:v>
      </x:c>
      <x:c r="K49" s="22" t="str">
        <x:v>N/A</x:v>
      </x:c>
      <x:c r="L49" s="22" t="str">
        <x:v>Current UI</x:v>
      </x:c>
      <x:c r="M49" s="22" t="str">
        <x:v>Fix overflow/CTA/table responsive only if needed</x:v>
      </x:c>
      <x:c r="N49" s="22" t="str">
        <x:v>P1</x:v>
      </x:c>
      <x:c r="O49" s="22" t="str">
        <x:v>Planned</x:v>
      </x:c>
      <x:c r="P49" s="22" t="str">
        <x:v>Preserve UI</x:v>
      </x:c>
    </x:row>
    <x:row r="50">
      <x:c r="A50" s="22" t="n">
        <x:v>46</x:v>
      </x:c>
      <x:c r="B50" s="46" t="n">
        <x:f>'Plan Settings'!$B$4+A50-1</x:f>
        <x:v>46368</x:v>
      </x:c>
      <x:c r="C50" s="22" t="n">
        <x:v>7</x:v>
      </x:c>
      <x:c r="D50" s="22" t="str">
        <x:v>QUERY-L</x:v>
      </x:c>
      <x:c r="E50" s="22" t="str">
        <x:v>Phân tích query loan mới</x:v>
      </x:c>
      <x:c r="F50" s="22" t="str">
        <x:v>Cash Loan</x:v>
      </x:c>
      <x:c r="G50" s="22" t="str">
        <x:v>Measurement</x:v>
      </x:c>
      <x:c r="H50" s="22" t="str">
        <x:v>Research/update</x:v>
      </x:c>
      <x:c r="I50" s="22" t="str">
        <x:v>No new URL</x:v>
      </x:c>
      <x:c r="J50" s="22" t="str">
        <x:v>Loan cluster</x:v>
      </x:c>
      <x:c r="K50" s="22" t="str">
        <x:v>N/A</x:v>
      </x:c>
      <x:c r="L50" s="22" t="str">
        <x:v>Search Console</x:v>
      </x:c>
      <x:c r="M50" s="22" t="str">
        <x:v>Map to existing owner before new URL</x:v>
      </x:c>
      <x:c r="N50" s="22" t="str">
        <x:v>P1</x:v>
      </x:c>
      <x:c r="O50" s="22" t="str">
        <x:v>Planned</x:v>
      </x:c>
      <x:c r="P50" s="22" t="str">
        <x:v>Evidence-based expansion</x:v>
      </x:c>
    </x:row>
    <x:row r="51">
      <x:c r="A51" s="22" t="n">
        <x:v>47</x:v>
      </x:c>
      <x:c r="B51" s="46" t="n">
        <x:f>'Plan Settings'!$B$4+A51-1</x:f>
        <x:v>46369</x:v>
      </x:c>
      <x:c r="C51" s="22" t="n">
        <x:v>7</x:v>
      </x:c>
      <x:c r="D51" s="22" t="str">
        <x:v>QUERY-C</x:v>
      </x:c>
      <x:c r="E51" s="22" t="str">
        <x:v>Phân tích query card mới</x:v>
      </x:c>
      <x:c r="F51" s="22" t="str">
        <x:v>Credit Card</x:v>
      </x:c>
      <x:c r="G51" s="22" t="str">
        <x:v>Measurement</x:v>
      </x:c>
      <x:c r="H51" s="22" t="str">
        <x:v>Research/update</x:v>
      </x:c>
      <x:c r="I51" s="22" t="str">
        <x:v>No new URL</x:v>
      </x:c>
      <x:c r="J51" s="22" t="str">
        <x:v>Card cluster</x:v>
      </x:c>
      <x:c r="K51" s="22" t="str">
        <x:v>N/A</x:v>
      </x:c>
      <x:c r="L51" s="22" t="str">
        <x:v>Search Console</x:v>
      </x:c>
      <x:c r="M51" s="22" t="str">
        <x:v>Map to owner before new URL</x:v>
      </x:c>
      <x:c r="N51" s="22" t="str">
        <x:v>P1</x:v>
      </x:c>
      <x:c r="O51" s="22" t="str">
        <x:v>Planned</x:v>
      </x:c>
      <x:c r="P51" s="22" t="str">
        <x:v>Evidence-based expansion</x:v>
      </x:c>
    </x:row>
    <x:row r="52">
      <x:c r="A52" s="22" t="n">
        <x:v>48</x:v>
      </x:c>
      <x:c r="B52" s="46" t="n">
        <x:f>'Plan Settings'!$B$4+A52-1</x:f>
        <x:v>46370</x:v>
      </x:c>
      <x:c r="C52" s="22" t="n">
        <x:v>7</x:v>
      </x:c>
      <x:c r="D52" s="22" t="str">
        <x:v>MERGE-L</x:v>
      </x:c>
      <x:c r="E52" s="22" t="str">
        <x:v>Đánh giá bài loan support có overlap</x:v>
      </x:c>
      <x:c r="F52" s="22" t="str">
        <x:v>Cash Loan</x:v>
      </x:c>
      <x:c r="G52" s="22" t="str">
        <x:v>Quality</x:v>
      </x:c>
      <x:c r="H52" s="22" t="str">
        <x:v>Editorial review</x:v>
      </x:c>
      <x:c r="I52" s="22" t="str">
        <x:v>No new URL</x:v>
      </x:c>
      <x:c r="J52" s="22" t="str">
        <x:v>Loan cluster</x:v>
      </x:c>
      <x:c r="K52" s="22" t="str">
        <x:v>N/A</x:v>
      </x:c>
      <x:c r="L52" s="22" t="str">
        <x:v>SERP/query data</x:v>
      </x:c>
      <x:c r="M52" s="22" t="str">
        <x:v>Merge thin/overlap sections if needed</x:v>
      </x:c>
      <x:c r="N52" s="22" t="str">
        <x:v>P1</x:v>
      </x:c>
      <x:c r="O52" s="22" t="str">
        <x:v>Planned</x:v>
      </x:c>
      <x:c r="P52" s="22" t="str">
        <x:v>Avoid content sprawl</x:v>
      </x:c>
    </x:row>
    <x:row r="53">
      <x:c r="A53" s="22" t="n">
        <x:v>49</x:v>
      </x:c>
      <x:c r="B53" s="46" t="n">
        <x:f>'Plan Settings'!$B$4+A53-1</x:f>
        <x:v>46371</x:v>
      </x:c>
      <x:c r="C53" s="22" t="n">
        <x:v>7</x:v>
      </x:c>
      <x:c r="D53" s="22" t="str">
        <x:v>MERGE-C</x:v>
      </x:c>
      <x:c r="E53" s="22" t="str">
        <x:v>Đánh giá bài card support có overlap</x:v>
      </x:c>
      <x:c r="F53" s="22" t="str">
        <x:v>Credit Card</x:v>
      </x:c>
      <x:c r="G53" s="22" t="str">
        <x:v>Quality</x:v>
      </x:c>
      <x:c r="H53" s="22" t="str">
        <x:v>Editorial review</x:v>
      </x:c>
      <x:c r="I53" s="22" t="str">
        <x:v>No new URL</x:v>
      </x:c>
      <x:c r="J53" s="22" t="str">
        <x:v>Card cluster</x:v>
      </x:c>
      <x:c r="K53" s="22" t="str">
        <x:v>N/A</x:v>
      </x:c>
      <x:c r="L53" s="22" t="str">
        <x:v>SERP/query data</x:v>
      </x:c>
      <x:c r="M53" s="22" t="str">
        <x:v>Merge thin/overlap sections if needed</x:v>
      </x:c>
      <x:c r="N53" s="22" t="str">
        <x:v>P1</x:v>
      </x:c>
      <x:c r="O53" s="22" t="str">
        <x:v>Planned</x:v>
      </x:c>
      <x:c r="P53" s="22" t="str">
        <x:v>Avoid content sprawl</x:v>
      </x:c>
    </x:row>
    <x:row r="54">
      <x:c r="A54" s="22" t="n">
        <x:v>50</x:v>
      </x:c>
      <x:c r="B54" s="46" t="n">
        <x:f>'Plan Settings'!$B$4+A54-1</x:f>
        <x:v>46372</x:v>
      </x:c>
      <x:c r="C54" s="22" t="n">
        <x:v>8</x:v>
      </x:c>
      <x:c r="D54" s="22" t="str">
        <x:v>CTR-L</x:v>
      </x:c>
      <x:c r="E54" s="22" t="str">
        <x:v>Review title/meta loan cluster</x:v>
      </x:c>
      <x:c r="F54" s="22" t="str">
        <x:v>Cash Loan</x:v>
      </x:c>
      <x:c r="G54" s="22" t="str">
        <x:v>CTR</x:v>
      </x:c>
      <x:c r="H54" s="22" t="str">
        <x:v>Conditional update</x:v>
      </x:c>
      <x:c r="I54" s="22" t="str">
        <x:v>No new URL</x:v>
      </x:c>
      <x:c r="J54" s="22" t="str">
        <x:v>Loan cluster</x:v>
      </x:c>
      <x:c r="K54" s="22" t="str">
        <x:v>N/A</x:v>
      </x:c>
      <x:c r="L54" s="22" t="str">
        <x:v>Search Console</x:v>
      </x:c>
      <x:c r="M54" s="22" t="str">
        <x:v>Change only if intent correct + CTR evidence</x:v>
      </x:c>
      <x:c r="N54" s="22" t="str">
        <x:v>P1</x:v>
      </x:c>
      <x:c r="O54" s="22" t="str">
        <x:v>Planned</x:v>
      </x:c>
      <x:c r="P54" s="22" t="str">
        <x:v>No clickbait</x:v>
      </x:c>
    </x:row>
    <x:row r="55">
      <x:c r="A55" s="22" t="n">
        <x:v>51</x:v>
      </x:c>
      <x:c r="B55" s="46" t="n">
        <x:f>'Plan Settings'!$B$4+A55-1</x:f>
        <x:v>46373</x:v>
      </x:c>
      <x:c r="C55" s="22" t="n">
        <x:v>8</x:v>
      </x:c>
      <x:c r="D55" s="22" t="str">
        <x:v>CTR-C</x:v>
      </x:c>
      <x:c r="E55" s="22" t="str">
        <x:v>Review title/meta card cluster</x:v>
      </x:c>
      <x:c r="F55" s="22" t="str">
        <x:v>Credit Card</x:v>
      </x:c>
      <x:c r="G55" s="22" t="str">
        <x:v>CTR</x:v>
      </x:c>
      <x:c r="H55" s="22" t="str">
        <x:v>Conditional update</x:v>
      </x:c>
      <x:c r="I55" s="22" t="str">
        <x:v>No new URL</x:v>
      </x:c>
      <x:c r="J55" s="22" t="str">
        <x:v>Card cluster</x:v>
      </x:c>
      <x:c r="K55" s="22" t="str">
        <x:v>N/A</x:v>
      </x:c>
      <x:c r="L55" s="22" t="str">
        <x:v>Search Console</x:v>
      </x:c>
      <x:c r="M55" s="22" t="str">
        <x:v>Change only if intent correct + CTR evidence</x:v>
      </x:c>
      <x:c r="N55" s="22" t="str">
        <x:v>P1</x:v>
      </x:c>
      <x:c r="O55" s="22" t="str">
        <x:v>Planned</x:v>
      </x:c>
      <x:c r="P55" s="22" t="str">
        <x:v>No promo bait</x:v>
      </x:c>
    </x:row>
    <x:row r="56">
      <x:c r="A56" s="22" t="n">
        <x:v>52</x:v>
      </x:c>
      <x:c r="B56" s="46" t="n">
        <x:f>'Plan Settings'!$B$4+A56-1</x:f>
        <x:v>46374</x:v>
      </x:c>
      <x:c r="C56" s="22" t="n">
        <x:v>8</x:v>
      </x:c>
      <x:c r="D56" s="22" t="str">
        <x:v>TRUST-L</x:v>
      </x:c>
      <x:c r="E56" s="22" t="str">
        <x:v>Rà disclosure loan affiliate</x:v>
      </x:c>
      <x:c r="F56" s="22" t="str">
        <x:v>Cash Loan</x:v>
      </x:c>
      <x:c r="G56" s="22" t="str">
        <x:v>Trust</x:v>
      </x:c>
      <x:c r="H56" s="22" t="str">
        <x:v>Update existing</x:v>
      </x:c>
      <x:c r="I56" s="22" t="str">
        <x:v>No new URL</x:v>
      </x:c>
      <x:c r="J56" s="22" t="str">
        <x:v>Loan cluster</x:v>
      </x:c>
      <x:c r="K56" s="22" t="str">
        <x:v>Medium</x:v>
      </x:c>
      <x:c r="L56" s="22" t="str">
        <x:v>S11</x:v>
      </x:c>
      <x:c r="M56" s="22" t="str">
        <x:v>Keep disclosure near CTA</x:v>
      </x:c>
      <x:c r="N56" s="22" t="str">
        <x:v>P0</x:v>
      </x:c>
      <x:c r="O56" s="22" t="str">
        <x:v>Planned</x:v>
      </x:c>
      <x:c r="P56" s="22" t="str">
        <x:v>Independent site clarity</x:v>
      </x:c>
    </x:row>
    <x:row r="57">
      <x:c r="A57" s="22" t="n">
        <x:v>53</x:v>
      </x:c>
      <x:c r="B57" s="46" t="n">
        <x:f>'Plan Settings'!$B$4+A57-1</x:f>
        <x:v>46375</x:v>
      </x:c>
      <x:c r="C57" s="22" t="n">
        <x:v>8</x:v>
      </x:c>
      <x:c r="D57" s="22" t="str">
        <x:v>TRUST-C</x:v>
      </x:c>
      <x:c r="E57" s="22" t="str">
        <x:v>Rà disclosure card affiliate</x:v>
      </x:c>
      <x:c r="F57" s="22" t="str">
        <x:v>Credit Card</x:v>
      </x:c>
      <x:c r="G57" s="22" t="str">
        <x:v>Trust</x:v>
      </x:c>
      <x:c r="H57" s="22" t="str">
        <x:v>Update existing</x:v>
      </x:c>
      <x:c r="I57" s="22" t="str">
        <x:v>No new URL</x:v>
      </x:c>
      <x:c r="J57" s="22" t="str">
        <x:v>Card cluster</x:v>
      </x:c>
      <x:c r="K57" s="22" t="str">
        <x:v>Medium</x:v>
      </x:c>
      <x:c r="L57" s="22" t="str">
        <x:v>S11</x:v>
      </x:c>
      <x:c r="M57" s="22" t="str">
        <x:v>Keep disclosure near CTA</x:v>
      </x:c>
      <x:c r="N57" s="22" t="str">
        <x:v>P0</x:v>
      </x:c>
      <x:c r="O57" s="22" t="str">
        <x:v>Planned</x:v>
      </x:c>
      <x:c r="P57" s="22" t="str">
        <x:v>Independent site clarity</x:v>
      </x:c>
    </x:row>
    <x:row r="58">
      <x:c r="A58" s="22" t="n">
        <x:v>54</x:v>
      </x:c>
      <x:c r="B58" s="46" t="n">
        <x:f>'Plan Settings'!$B$4+A58-1</x:f>
        <x:v>46376</x:v>
      </x:c>
      <x:c r="C58" s="22" t="n">
        <x:v>8</x:v>
      </x:c>
      <x:c r="D58" s="22" t="str">
        <x:v>SUPPORT</x:v>
      </x:c>
      <x:c r="E58" s="22" t="str">
        <x:v>Rà hotline/support links Home Credit</x:v>
      </x:c>
      <x:c r="F58" s="22" t="str">
        <x:v>All</x:v>
      </x:c>
      <x:c r="G58" s="22" t="str">
        <x:v>Trust/support</x:v>
      </x:c>
      <x:c r="H58" s="22" t="str">
        <x:v>Update existing</x:v>
      </x:c>
      <x:c r="I58" s="22" t="str">
        <x:v>No new URL</x:v>
      </x:c>
      <x:c r="J58" s="22" t="str">
        <x:v>All</x:v>
      </x:c>
      <x:c r="K58" s="22" t="str">
        <x:v>Low</x:v>
      </x:c>
      <x:c r="L58" s="22" t="str">
        <x:v>Home Credit current site</x:v>
      </x:c>
      <x:c r="M58" s="22" t="str">
        <x:v>Refresh support links if changed</x:v>
      </x:c>
      <x:c r="N58" s="22" t="str">
        <x:v>P1</x:v>
      </x:c>
      <x:c r="O58" s="22" t="str">
        <x:v>Planned</x:v>
      </x:c>
      <x:c r="P58" s="22" t="str">
        <x:v>No sensitive data collection</x:v>
      </x:c>
    </x:row>
    <x:row r="59">
      <x:c r="A59" s="22" t="n">
        <x:v>55</x:v>
      </x:c>
      <x:c r="B59" s="46" t="n">
        <x:f>'Plan Settings'!$B$4+A59-1</x:f>
        <x:v>46377</x:v>
      </x:c>
      <x:c r="C59" s="22" t="n">
        <x:v>8</x:v>
      </x:c>
      <x:c r="D59" s="22" t="str">
        <x:v>CRAWL</x:v>
      </x:c>
      <x:c r="E59" s="22" t="str">
        <x:v>Rà canonical/index/sitemap</x:v>
      </x:c>
      <x:c r="F59" s="22" t="str">
        <x:v>All</x:v>
      </x:c>
      <x:c r="G59" s="22" t="str">
        <x:v>Technical SEO</x:v>
      </x:c>
      <x:c r="H59" s="22" t="str">
        <x:v>Update implementation</x:v>
      </x:c>
      <x:c r="I59" s="22" t="str">
        <x:v>No new URL</x:v>
      </x:c>
      <x:c r="J59" s="22" t="str">
        <x:v>All</x:v>
      </x:c>
      <x:c r="K59" s="22" t="str">
        <x:v>N/A</x:v>
      </x:c>
      <x:c r="L59" s="22" t="str">
        <x:v>Project config</x:v>
      </x:c>
      <x:c r="M59" s="22" t="str">
        <x:v>Fix only real issues</x:v>
      </x:c>
      <x:c r="N59" s="22" t="str">
        <x:v>P1</x:v>
      </x:c>
      <x:c r="O59" s="22" t="str">
        <x:v>Planned</x:v>
      </x:c>
      <x:c r="P59" s="22" t="str">
        <x:v>Preserve current routes</x:v>
      </x:c>
    </x:row>
    <x:row r="60">
      <x:c r="A60" s="22" t="n">
        <x:v>56</x:v>
      </x:c>
      <x:c r="B60" s="46" t="n">
        <x:f>'Plan Settings'!$B$4+A60-1</x:f>
        <x:v>46378</x:v>
      </x:c>
      <x:c r="C60" s="22" t="n">
        <x:v>8</x:v>
      </x:c>
      <x:c r="D60" s="22" t="str">
        <x:v>FINAL-L</x:v>
      </x:c>
      <x:c r="E60" s="22" t="str">
        <x:v>Final content QA loan cluster</x:v>
      </x:c>
      <x:c r="F60" s="22" t="str">
        <x:v>Cash Loan</x:v>
      </x:c>
      <x:c r="G60" s="22" t="str">
        <x:v>QA</x:v>
      </x:c>
      <x:c r="H60" s="22" t="str">
        <x:v>Update existing</x:v>
      </x:c>
      <x:c r="I60" s="22" t="str">
        <x:v>No new URL</x:v>
      </x:c>
      <x:c r="J60" s="22" t="str">
        <x:v>Loan cluster</x:v>
      </x:c>
      <x:c r="K60" s="22" t="str">
        <x:v>N/A</x:v>
      </x:c>
      <x:c r="L60" s="22" t="str">
        <x:v>All current sources</x:v>
      </x:c>
      <x:c r="M60" s="22" t="str">
        <x:v>Check costs/approval wording/source dates</x:v>
      </x:c>
      <x:c r="N60" s="22" t="str">
        <x:v>P0</x:v>
      </x:c>
      <x:c r="O60" s="22" t="str">
        <x:v>Planned</x:v>
      </x:c>
      <x:c r="P60" s="22" t="str">
        <x:v>YMYL</x:v>
      </x:c>
    </x:row>
    <x:row r="61">
      <x:c r="A61" s="22" t="n">
        <x:v>57</x:v>
      </x:c>
      <x:c r="B61" s="46" t="n">
        <x:f>'Plan Settings'!$B$4+A61-1</x:f>
        <x:v>46379</x:v>
      </x:c>
      <x:c r="C61" s="22" t="n">
        <x:v>9</x:v>
      </x:c>
      <x:c r="D61" s="22" t="str">
        <x:v>FINAL-C</x:v>
      </x:c>
      <x:c r="E61" s="22" t="str">
        <x:v>Final content QA card cluster</x:v>
      </x:c>
      <x:c r="F61" s="22" t="str">
        <x:v>Credit Card</x:v>
      </x:c>
      <x:c r="G61" s="22" t="str">
        <x:v>QA</x:v>
      </x:c>
      <x:c r="H61" s="22" t="str">
        <x:v>Update existing</x:v>
      </x:c>
      <x:c r="I61" s="22" t="str">
        <x:v>No new URL</x:v>
      </x:c>
      <x:c r="J61" s="22" t="str">
        <x:v>Card cluster</x:v>
      </x:c>
      <x:c r="K61" s="22" t="str">
        <x:v>N/A</x:v>
      </x:c>
      <x:c r="L61" s="22" t="str">
        <x:v>Latest tariff + FAQ</x:v>
      </x:c>
      <x:c r="M61" s="22" t="str">
        <x:v>Check fees/interest/billing wording</x:v>
      </x:c>
      <x:c r="N61" s="22" t="str">
        <x:v>P0</x:v>
      </x:c>
      <x:c r="O61" s="22" t="str">
        <x:v>Planned</x:v>
      </x:c>
      <x:c r="P61" s="22" t="str">
        <x:v>YMYL</x:v>
      </x:c>
    </x:row>
    <x:row r="62">
      <x:c r="A62" s="22" t="n">
        <x:v>58</x:v>
      </x:c>
      <x:c r="B62" s="46" t="n">
        <x:f>'Plan Settings'!$B$4+A62-1</x:f>
        <x:v>46380</x:v>
      </x:c>
      <x:c r="C62" s="22" t="n">
        <x:v>9</x:v>
      </x:c>
      <x:c r="D62" s="22" t="str">
        <x:v>FINAL-CTA</x:v>
      </x:c>
      <x:c r="E62" s="22" t="str">
        <x:v>Final affiliate funnel QA</x:v>
      </x:c>
      <x:c r="F62" s="22" t="str">
        <x:v>All</x:v>
      </x:c>
      <x:c r="G62" s="22" t="str">
        <x:v>Conversion</x:v>
      </x:c>
      <x:c r="H62" s="22" t="str">
        <x:v>Update existing</x:v>
      </x:c>
      <x:c r="I62" s="22" t="str">
        <x:v>No new URL</x:v>
      </x:c>
      <x:c r="J62" s="22" t="str">
        <x:v>All</x:v>
      </x:c>
      <x:c r="K62" s="22" t="str">
        <x:v>N/A</x:v>
      </x:c>
      <x:c r="L62" s="22" t="str">
        <x:v>Analytics + CTA Matrix</x:v>
      </x:c>
      <x:c r="M62" s="22" t="str">
        <x:v>Ensure CTA useful, disclosed, non-deceptive</x:v>
      </x:c>
      <x:c r="N62" s="22" t="str">
        <x:v>P0</x:v>
      </x:c>
      <x:c r="O62" s="22" t="str">
        <x:v>Planned</x:v>
      </x:c>
      <x:c r="P62" s="22" t="str">
        <x:v>Business QA</x:v>
      </x:c>
    </x:row>
    <x:row r="63">
      <x:c r="A63" s="22" t="n">
        <x:v>59</x:v>
      </x:c>
      <x:c r="B63" s="46" t="n">
        <x:f>'Plan Settings'!$B$4+A63-1</x:f>
        <x:v>46381</x:v>
      </x:c>
      <x:c r="C63" s="22" t="n">
        <x:v>9</x:v>
      </x:c>
      <x:c r="D63" s="22" t="str">
        <x:v>FINAL-DATA</x:v>
      </x:c>
      <x:c r="E63" s="22" t="str">
        <x:v>Baseline vs 60-day comparison</x:v>
      </x:c>
      <x:c r="F63" s="22" t="str">
        <x:v>All</x:v>
      </x:c>
      <x:c r="G63" s="22" t="str">
        <x:v>Measurement</x:v>
      </x:c>
      <x:c r="H63" s="22" t="str">
        <x:v>Report</x:v>
      </x:c>
      <x:c r="I63" s="22" t="str">
        <x:v>No new URL</x:v>
      </x:c>
      <x:c r="J63" s="22" t="str">
        <x:v>All</x:v>
      </x:c>
      <x:c r="K63" s="22" t="str">
        <x:v>N/A</x:v>
      </x:c>
      <x:c r="L63" s="22" t="str">
        <x:v>Search Console + analytics</x:v>
      </x:c>
      <x:c r="M63" s="22" t="str">
        <x:v>Compare queries/clicks/outbound/conversions</x:v>
      </x:c>
      <x:c r="N63" s="22" t="str">
        <x:v>P0</x:v>
      </x:c>
      <x:c r="O63" s="22" t="str">
        <x:v>Planned</x:v>
      </x:c>
      <x:c r="P63" s="22" t="str">
        <x:v>Cluster-level</x:v>
      </x:c>
    </x:row>
    <x:row r="64">
      <x:c r="A64" s="22" t="n">
        <x:v>60</x:v>
      </x:c>
      <x:c r="B64" s="46" t="n">
        <x:f>'Plan Settings'!$B$4+A64-1</x:f>
        <x:v>46382</x:v>
      </x:c>
      <x:c r="C64" s="22" t="n">
        <x:v>9</x:v>
      </x:c>
      <x:c r="D64" s="22" t="str">
        <x:v>NEXT-CYCLE</x:v>
      </x:c>
      <x:c r="E64" s="22" t="str">
        <x:v>Chọn content Home Credit cho chu kỳ tiếp theo</x:v>
      </x:c>
      <x:c r="F64" s="22" t="str">
        <x:v>All</x:v>
      </x:c>
      <x:c r="G64" s="22" t="str">
        <x:v>Strategy</x:v>
      </x:c>
      <x:c r="H64" s="22" t="str">
        <x:v>Research</x:v>
      </x:c>
      <x:c r="I64" s="22" t="str">
        <x:v>No new URL</x:v>
      </x:c>
      <x:c r="J64" s="22" t="str">
        <x:v>All</x:v>
      </x:c>
      <x:c r="K64" s="22" t="str">
        <x:v>N/A</x:v>
      </x:c>
      <x:c r="L64" s="22" t="str">
        <x:v>Real query + conversion data</x:v>
      </x:c>
      <x:c r="M64" s="22" t="str">
        <x:v>Pick next 5 assets from evidence</x:v>
      </x:c>
      <x:c r="N64" s="22" t="str">
        <x:v>P0</x:v>
      </x:c>
      <x:c r="O64" s="22" t="str">
        <x:v>Planned</x:v>
      </x:c>
      <x:c r="P64" s="22" t="str">
        <x:v>No 1-keyword=1-page</x:v>
      </x:c>
    </x:row>
  </x:sheetData>
  <x:mergeCells>
    <x:mergeCell ref="A1:P1"/>
    <x:mergeCell ref="A2:P2"/>
  </x:mergeCells>
  <x:conditionalFormatting sqref="O5:O64">
    <x:cfRule type="expression" dxfId="4" priority="1">
      <x:formula>O5="Done"</x:formula>
    </x:cfRule>
    <x:cfRule type="expression" dxfId="5" priority="2">
      <x:formula>O5="In progress"</x:formula>
    </x:cfRule>
    <x:cfRule type="expression" dxfId="6" priority="3">
      <x:formula>O5="Blocked"</x:formula>
    </x:cfRule>
  </x:conditionalFormatting>
  <x:conditionalFormatting sqref="H5:H64">
    <x:cfRule type="expression" dxfId="7" priority="4">
      <x:formula>H5="New article"</x:formula>
    </x:cfRule>
    <x:cfRule type="expression" dxfId="8" priority="5">
      <x:formula>H5="Update existing"</x:formula>
    </x:cfRule>
  </x:conditionalFormatting>
  <x:dataValidations count="1">
    <x:dataValidation type="list" sqref="O5:O64">
      <x:formula1>"Planned,In progress,Done,Blocked,Skip"</x:formula1>
    </x:dataValidation>
  </x:dataValidations>
  <x:pageMargins left="0.7" right="0.7" top="0.75" bottom="0.75" header="0.3" footer="0.3"/>
  <x:tableParts count="1">
    <x:tablePart xmlns:r="http://schemas.openxmlformats.org/officeDocument/2006/relationships" r:id="Rdb0ca425f4674f4c"/>
  </x:tableParts>
</x:worksheet>
</file>

<file path=xl/worksheets/sheet11.xml><?xml version="1.0" encoding="utf-8"?>
<x:worksheet xmlns:x="http://schemas.openxmlformats.org/spreadsheetml/2006/main">
  <x:sheetFormatPr defaultRowHeight="15"/>
  <x:cols>
    <x:col min="1" max="1" width="28" hidden="0" customWidth="1"/>
    <x:col min="2" max="2" width="20" hidden="0" customWidth="1"/>
    <x:col min="3" max="3" width="4" hidden="0" customWidth="1"/>
    <x:col min="4" max="4" width="28" hidden="0" customWidth="1"/>
    <x:col min="5" max="5" width="18" hidden="0" customWidth="1"/>
    <x:col min="6" max="6" width="14" hidden="0" customWidth="1"/>
    <x:col min="7" max="7" width="14" hidden="0" customWidth="1"/>
    <x:col min="8" max="8" width="14" hidden="0" customWidth="1"/>
  </x:cols>
  <x:sheetData>
    <x:row r="1">
      <x:c r="A1" s="8" t="str">
        <x:v>HOME CREDIT – EXECUTION DASHBOARD</x:v>
      </x:c>
      <x:c r="B1" s="8"/>
      <x:c r="C1" s="8"/>
      <x:c r="D1" s="8"/>
      <x:c r="E1" s="8"/>
      <x:c r="F1" s="8"/>
      <x:c r="G1" s="8"/>
      <x:c r="H1" s="8"/>
    </x:row>
    <x:row r="3">
      <x:c r="A3" s="20" t="str">
        <x:v>Metric</x:v>
      </x:c>
      <x:c r="B3" s="20" t="str">
        <x:v>Value</x:v>
      </x:c>
      <x:c r="D3" s="20" t="str">
        <x:v>Layer</x:v>
      </x:c>
      <x:c r="E3" s="20" t="str">
        <x:v>Priority</x:v>
      </x:c>
    </x:row>
    <x:row r="4">
      <x:c r="A4" t="str">
        <x:v>Start date</x:v>
      </x:c>
      <x:c r="B4" s="30" t="n">
        <x:f>'Plan Settings'!$B$4</x:f>
        <x:v>46323</x:v>
      </x:c>
      <x:c r="D4" t="str">
        <x:v>Cash Loan Pillar</x:v>
      </x:c>
      <x:c r="E4" t="str">
        <x:v>P0</x:v>
      </x:c>
    </x:row>
    <x:row r="5">
      <x:c r="A5" t="str">
        <x:v>End date</x:v>
      </x:c>
      <x:c r="B5" s="30" t="n">
        <x:f>'Plan Settings'!$B$4+59</x:f>
        <x:v>46382</x:v>
      </x:c>
      <x:c r="D5" t="str">
        <x:v>Credit Card Pillar</x:v>
      </x:c>
      <x:c r="E5" t="str">
        <x:v>P0</x:v>
      </x:c>
    </x:row>
    <x:row r="6">
      <x:c r="A6" t="str">
        <x:v>Days</x:v>
      </x:c>
      <x:c r="B6" t="n">
        <x:v>60</x:v>
      </x:c>
      <x:c r="D6" t="str">
        <x:v>Loan Cost/Reject</x:v>
      </x:c>
      <x:c r="E6" t="str">
        <x:v>P0</x:v>
      </x:c>
    </x:row>
    <x:row r="7">
      <x:c r="A7" t="str">
        <x:v>Money pillars</x:v>
      </x:c>
      <x:c r="B7" t="n">
        <x:v>2</x:v>
      </x:c>
      <x:c r="D7" t="str">
        <x:v>Card Cost/Cash/Installment</x:v>
      </x:c>
      <x:c r="E7" t="str">
        <x:v>P0</x:v>
      </x:c>
    </x:row>
    <x:row r="8">
      <x:c r="A8" t="str">
        <x:v>Guaranteed new support articles</x:v>
      </x:c>
      <x:c r="B8" t="n">
        <x:f>COUNTIF('Daily Publishing Schedule'!H5:H64,"New article")</x:f>
        <x:v>12</x:v>
      </x:c>
      <x:c r="D8" t="str">
        <x:v>Eligibility/Servicing</x:v>
      </x:c>
      <x:c r="E8" t="str">
        <x:v>P1</x:v>
      </x:c>
    </x:row>
    <x:row r="9">
      <x:c r="A9" t="str">
        <x:v>Conditional article slots</x:v>
      </x:c>
      <x:c r="B9" t="n">
        <x:f>COUNTIF('Daily Publishing Schedule'!H5:H64,"*Conditional*")</x:f>
        <x:v>0</x:v>
      </x:c>
      <x:c r="D9" t="str">
        <x:v>Bridge/Trust</x:v>
      </x:c>
      <x:c r="E9" t="str">
        <x:v>P1</x:v>
      </x:c>
    </x:row>
    <x:row r="10">
      <x:c r="A10" t="str">
        <x:v>P0 days</x:v>
      </x:c>
      <x:c r="B10" t="n">
        <x:f>COUNTIF('Daily Publishing Schedule'!N5:N64,"P0")</x:f>
        <x:v>20</x:v>
      </x:c>
    </x:row>
    <x:row r="11">
      <x:c r="A11" t="str">
        <x:v>P1 days</x:v>
      </x:c>
      <x:c r="B11" t="n">
        <x:f>COUNTIF('Daily Publishing Schedule'!N5:N64,"P1")</x:f>
        <x:v>40</x:v>
      </x:c>
    </x:row>
    <x:row r="12">
      <x:c r="A12" t="str">
        <x:v>Primary conversion model</x:v>
      </x:c>
      <x:c r="B12" t="str">
        <x:v>Product-level CTA</x:v>
      </x:c>
    </x:row>
    <x:row r="14">
      <x:c r="A14" s="52" t="str">
        <x:v>Key strategic rule</x:v>
      </x:c>
      <x:c r="B14" s="52"/>
      <x:c r="C14" s="52"/>
      <x:c r="D14" s="52"/>
      <x:c r="E14" s="52"/>
      <x:c r="F14" s="52"/>
      <x:c r="G14" s="52"/>
      <x:c r="H14" s="52"/>
    </x:row>
    <x:row r="15">
      <x:c r="A15" s="22" t="str">
        <x:v>Home Credit có 2 product funnels độc lập: Vay tiền mặt và Thẻ tín dụng. Affiliate CTA nằm trong đúng product funnel, không tạo một referral-code hub riêng. Các trang chi phí/lãi/phí phải lấy nguồn Home Credit hiện hành; đặc biệt thẻ tín dụng phải kiểm biểu phí mới nhất trong trang tra cứu hợp đồng trước mỗi lần publish/update.</x:v>
      </x:c>
      <x:c r="B15" s="22"/>
      <x:c r="C15" s="22"/>
      <x:c r="D15" s="22"/>
      <x:c r="E15" s="22"/>
      <x:c r="F15" s="22"/>
      <x:c r="G15" s="22"/>
      <x:c r="H15" s="22"/>
    </x:row>
    <x:row r="16">
      <x:c r="A16" s="22"/>
      <x:c r="B16" s="22"/>
      <x:c r="C16" s="22"/>
      <x:c r="D16" s="22"/>
      <x:c r="E16" s="22"/>
      <x:c r="F16" s="22"/>
      <x:c r="G16" s="22"/>
      <x:c r="H16" s="22"/>
    </x:row>
    <x:row r="17">
      <x:c r="A17" s="22"/>
      <x:c r="B17" s="22"/>
      <x:c r="C17" s="22"/>
      <x:c r="D17" s="22"/>
      <x:c r="E17" s="22"/>
      <x:c r="F17" s="22"/>
      <x:c r="G17" s="22"/>
      <x:c r="H17" s="22"/>
    </x:row>
    <x:row r="18">
      <x:c r="A18" s="22"/>
      <x:c r="B18" s="22"/>
      <x:c r="C18" s="22"/>
      <x:c r="D18" s="22"/>
      <x:c r="E18" s="22"/>
      <x:c r="F18" s="22"/>
      <x:c r="G18" s="22"/>
      <x:c r="H18" s="22"/>
    </x:row>
    <x:row r="19">
      <x:c r="A19" s="22"/>
      <x:c r="B19" s="22"/>
      <x:c r="C19" s="22"/>
      <x:c r="D19" s="22"/>
      <x:c r="E19" s="22"/>
      <x:c r="F19" s="22"/>
      <x:c r="G19" s="22"/>
      <x:c r="H19" s="22"/>
    </x:row>
    <x:row r="20">
      <x:c r="A20" s="22"/>
      <x:c r="B20" s="22"/>
      <x:c r="C20" s="22"/>
      <x:c r="D20" s="22"/>
      <x:c r="E20" s="22"/>
      <x:c r="F20" s="22"/>
      <x:c r="G20" s="22"/>
      <x:c r="H20" s="22"/>
    </x:row>
  </x:sheetData>
  <x:mergeCells>
    <x:mergeCell ref="A1:H1"/>
    <x:mergeCell ref="A14:H14"/>
    <x:mergeCell ref="A15:H20"/>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68" hidden="0" customWidth="1"/>
    <x:col min="3" max="3" width="24" hidden="0" customWidth="1"/>
    <x:col min="4" max="4" width="34" hidden="0" customWidth="1"/>
    <x:col min="5" max="5" width="58" hidden="0" customWidth="1"/>
    <x:col min="6" max="6" width="10" hidden="0" customWidth="1"/>
  </x:cols>
  <x:sheetData>
    <x:row r="1">
      <x:c r="A1" s="28" t="str">
        <x:v>CODEX HANDOFF NOTES – HOME CREDIT</x:v>
      </x:c>
      <x:c r="B1" s="28"/>
      <x:c r="C1" s="28"/>
      <x:c r="D1" s="28"/>
      <x:c r="E1" s="28"/>
      <x:c r="F1" s="28"/>
    </x:row>
    <x:row r="3">
      <x:c r="A3" s="20" t="str">
        <x:v>Rule</x:v>
      </x:c>
      <x:c r="B3" s="20" t="str">
        <x:v>Instruction</x:v>
      </x:c>
      <x:c r="C3" s="20" t="str">
        <x:v>Applies to</x:v>
      </x:c>
      <x:c r="D3" s="20" t="str">
        <x:v>Why</x:v>
      </x:c>
      <x:c r="E3" s="20" t="str">
        <x:v>Source</x:v>
      </x:c>
      <x:c r="F3" s="20" t="str">
        <x:v>Priority</x:v>
      </x:c>
    </x:row>
    <x:row r="4">
      <x:c r="A4" s="22" t="str">
        <x:v>UI</x:v>
      </x:c>
      <x:c r="B4" s="22" t="str">
        <x:v>Giữ nguyên UI/UX/design system 1phutdangky.com; reuse components hiện có.</x:v>
      </x:c>
      <x:c r="C4" s="22" t="str">
        <x:v>All</x:v>
      </x:c>
      <x:c r="D4" s="22" t="str">
        <x:v>Consistency</x:v>
      </x:c>
      <x:c r="E4" s="22" t="str">
        <x:v>Current project</x:v>
      </x:c>
      <x:c r="F4" s="22" t="str">
        <x:v>P0</x:v>
      </x:c>
    </x:row>
    <x:row r="5">
      <x:c r="A5" s="22" t="str">
        <x:v>Existing loan URL</x:v>
      </x:c>
      <x:c r="B5" s="22" t="str">
        <x:v>Không thay URL loan pillar hiện tại.</x:v>
      </x:c>
      <x:c r="C5" s="22" t="str">
        <x:v>L-PILLAR</x:v>
      </x:c>
      <x:c r="D5" s="22" t="str">
        <x:v>Preserve canonical/history</x:v>
      </x:c>
      <x:c r="E5" s="22" t="str">
        <x:v>https://1phutdangky.com/vay-tien-mat/vay-tien-mat-home-credit-online/</x:v>
      </x:c>
      <x:c r="F5" s="22" t="str">
        <x:v>P0</x:v>
      </x:c>
    </x:row>
    <x:row r="6">
      <x:c r="A6" s="22" t="str">
        <x:v>Card route</x:v>
      </x:c>
      <x:c r="B6" s="22" t="str">
        <x:v>Tạo theo routing convention project; candidate /the-tin-dung/mo-the-tin-dung-home-credit-online/.</x:v>
      </x:c>
      <x:c r="C6" s="22" t="str">
        <x:v>C-PILLAR</x:v>
      </x:c>
      <x:c r="D6" s="22" t="str">
        <x:v>Separate product owner</x:v>
      </x:c>
      <x:c r="E6" s="22" t="str">
        <x:v>Execution brief</x:v>
      </x:c>
      <x:c r="F6" s="22" t="str">
        <x:v>P0</x:v>
      </x:c>
    </x:row>
    <x:row r="7">
      <x:c r="A7" s="22" t="str">
        <x:v>Affiliate disclosure</x:v>
      </x:c>
      <x:c r="B7" s="22" t="str">
        <x:v>1 Phút Đăng Ký là website độc lập; Home Credit thẩm định/cấp sản phẩm.</x:v>
      </x:c>
      <x:c r="C7" s="22" t="str">
        <x:v>Loan/Card CTAs</x:v>
      </x:c>
      <x:c r="D7" s="22" t="str">
        <x:v>Trust/YMYL</x:v>
      </x:c>
      <x:c r="E7" s="22" t="str">
        <x:v>https://1phutdangky.com/gioi-thieu/</x:v>
      </x:c>
      <x:c r="F7" s="22" t="str">
        <x:v>P0</x:v>
      </x:c>
    </x:row>
    <x:row r="8">
      <x:c r="A8" s="22" t="str">
        <x:v>Approval</x:v>
      </x:c>
      <x:c r="B8" s="22" t="str">
        <x:v>Không hứa chắc chắn được duyệt, hạn mức, thời gian hoặc giải ngân.</x:v>
      </x:c>
      <x:c r="C8" s="22" t="str">
        <x:v>Loan/Card</x:v>
      </x:c>
      <x:c r="D8" s="22" t="str">
        <x:v>Underwriting varies</x:v>
      </x:c>
      <x:c r="E8" s="22" t="str">
        <x:v>Home Credit official</x:v>
      </x:c>
      <x:c r="F8" s="22" t="str">
        <x:v>P0</x:v>
      </x:c>
    </x:row>
    <x:row r="9">
      <x:c r="A9" s="22" t="str">
        <x:v>Loan interest</x:v>
      </x:c>
      <x:c r="B9" s="22" t="str">
        <x:v>Phân biệt lãi suất phẳng và lãi suất dư nợ giảm dần.</x:v>
      </x:c>
      <x:c r="C9" s="22" t="str">
        <x:v>Loan cost</x:v>
      </x:c>
      <x:c r="D9" s="22" t="str">
        <x:v>Avoid misleading rates</x:v>
      </x:c>
      <x:c r="E9" s="22" t="str">
        <x:v>https://www.homecredit.vn/faq/vay-tien-mat</x:v>
      </x:c>
      <x:c r="F9" s="22" t="str">
        <x:v>P0</x:v>
      </x:c>
    </x:row>
    <x:row r="10">
      <x:c r="A10" s="22" t="str">
        <x:v>Card tariff</x:v>
      </x:c>
      <x:c r="B10" s="22" t="str">
        <x:v>Tìm và dùng biểu phí hiện hành mới nhất; hiện trang tra cứu liệt kê bản hiệu lực 04/09/2026.</x:v>
      </x:c>
      <x:c r="C10" s="22" t="str">
        <x:v>Card cost</x:v>
      </x:c>
      <x:c r="D10" s="22" t="str">
        <x:v>High volatility</x:v>
      </x:c>
      <x:c r="E10" s="22" t="str">
        <x:v>https://www.homecredit.vn/tra-cuu-mau-hop-dong</x:v>
      </x:c>
      <x:c r="F10" s="22" t="str">
        <x:v>P0</x:v>
      </x:c>
    </x:row>
    <x:row r="11">
      <x:c r="A11" s="22" t="str">
        <x:v>Conditional assets</x:v>
      </x:c>
      <x:c r="B11" s="22" t="str">
        <x:v>Không tạo URL nếu gate chưa pass; merge vào canonical parent.</x:v>
      </x:c>
      <x:c r="C11" s="22" t="str">
        <x:v>Conditional</x:v>
      </x:c>
      <x:c r="D11" s="22" t="str">
        <x:v>Avoid thin content</x:v>
      </x:c>
      <x:c r="E11" s="22" t="str">
        <x:v>Daily schedule</x:v>
      </x:c>
      <x:c r="F11" s="22" t="str">
        <x:v>P0</x:v>
      </x:c>
    </x:row>
    <x:row r="12">
      <x:c r="A12" s="22" t="str">
        <x:v>Git/Cloudflare</x:v>
      </x:c>
      <x:c r="B12" s="22" t="str">
        <x:v>Sau mỗi batch build/test, commit/push nếu có quyền, deploy theo workflow Cloudflare hiện hữu, verify production.</x:v>
      </x:c>
      <x:c r="C12" s="22" t="str">
        <x:v>All</x:v>
      </x:c>
      <x:c r="D12" s="22" t="str">
        <x:v>Operational discipline</x:v>
      </x:c>
      <x:c r="E12" s="22" t="str">
        <x:v>Project config</x:v>
      </x:c>
      <x:c r="F12" s="22" t="str">
        <x:v>P0</x:v>
      </x:c>
    </x:row>
    <x:row r="13">
      <x:c r="A13" s="22"/>
      <x:c r="B13" s="22"/>
      <x:c r="C13" s="22"/>
      <x:c r="D13" s="22"/>
      <x:c r="E13" s="22"/>
      <x:c r="F13" s="22"/>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44" hidden="0" customWidth="1"/>
    <x:col min="3" max="3" width="32" hidden="0" customWidth="1"/>
    <x:col min="4" max="4" width="34" hidden="0" customWidth="1"/>
    <x:col min="5" max="5" width="30" hidden="0" customWidth="1"/>
    <x:col min="6" max="6" width="36" hidden="0" customWidth="1"/>
    <x:col min="7" max="7" width="32" hidden="0" customWidth="1"/>
    <x:col min="8" max="8" width="15" hidden="0" customWidth="1"/>
  </x:cols>
  <x:sheetData>
    <x:row r="1">
      <x:c r="A1" s="58" t="str">
        <x:v>HOME CREDIT EVERGREEN CONTENT ENGINE – OPERATING PROTOCOL</x:v>
      </x:c>
      <x:c r="B1" s="58"/>
      <x:c r="C1" s="58"/>
      <x:c r="D1" s="58"/>
      <x:c r="E1" s="58"/>
      <x:c r="F1" s="58"/>
      <x:c r="G1" s="58"/>
      <x:c r="H1" s="58"/>
    </x:row>
    <x:row r="2">
      <x:c r="A2" s="60" t="str">
        <x:v>Lệnh vận hành duy nhất: "Bắt đầu tạo bài mới Home Credit". Hệ thống tự chọn việc tiếp theo, kiểm gate, triển khai, kiểm tra, commit/deploy và ghi log.</x:v>
      </x:c>
      <x:c r="B2" s="60"/>
      <x:c r="C2" s="60"/>
      <x:c r="D2" s="60"/>
      <x:c r="E2" s="60"/>
      <x:c r="F2" s="60"/>
      <x:c r="G2" s="60"/>
      <x:c r="H2" s="60"/>
    </x:row>
    <x:row r="4">
      <x:c r="A4" s="64" t="str">
        <x:v>Step</x:v>
      </x:c>
      <x:c r="B4" s="64" t="str">
        <x:v>System action</x:v>
      </x:c>
      <x:c r="C4" s="64" t="str">
        <x:v>Input/source</x:v>
      </x:c>
      <x:c r="D4" s="64" t="str">
        <x:v>Decision</x:v>
      </x:c>
      <x:c r="E4" s="64" t="str">
        <x:v>Output</x:v>
      </x:c>
      <x:c r="F4" s="64" t="str">
        <x:v>Stop only if</x:v>
      </x:c>
      <x:c r="G4" s="64" t="str">
        <x:v>Codex must update</x:v>
      </x:c>
      <x:c r="H4" s="64" t="str">
        <x:v>Owner</x:v>
      </x:c>
    </x:row>
    <x:row r="5">
      <x:c r="A5" s="22" t="n">
        <x:v>1</x:v>
      </x:c>
      <x:c r="B5" s="22" t="str">
        <x:v>Đọc repository instructions + workbook</x:v>
      </x:c>
      <x:c r="C5" s="22" t="str">
        <x:v>AGENTS.md / content-engine doc / workbook</x:v>
      </x:c>
      <x:c r="D5" s="22" t="str">
        <x:v>Không hỏi user chọn topic nếu queue đã có Ready item</x:v>
      </x:c>
      <x:c r="E5" s="22" t="str">
        <x:v>Context loaded</x:v>
      </x:c>
      <x:c r="F5" s="22" t="str">
        <x:v>Thiếu file/source of truth</x:v>
      </x:c>
      <x:c r="G5" s="22" t="str">
        <x:v>Run Log: Started</x:v>
      </x:c>
      <x:c r="H5" s="22" t="str">
        <x:v>Codex</x:v>
      </x:c>
    </x:row>
    <x:row r="6">
      <x:c r="A6" s="22" t="n">
        <x:v>2</x:v>
      </x:c>
      <x:c r="B6" s="22" t="str">
        <x:v>Mở Next Action</x:v>
      </x:c>
      <x:c r="C6" s="22" t="str">
        <x:v>Next Action sheet</x:v>
      </x:c>
      <x:c r="D6" s="22" t="str">
        <x:v>Nếu có Asset ID → lấy item đó; nếu DISCOVERY → chạy Discovery Mode</x:v>
      </x:c>
      <x:c r="E6" s="22" t="str">
        <x:v>Selected item</x:v>
      </x:c>
      <x:c r="F6" s="22" t="str">
        <x:v>Có conflict với thay đổi chưa commit của user</x:v>
      </x:c>
      <x:c r="G6" s="22" t="str">
        <x:v>Queue status → In progress</x:v>
      </x:c>
      <x:c r="H6" s="22" t="str">
        <x:v>Codex</x:v>
      </x:c>
    </x:row>
    <x:row r="7">
      <x:c r="A7" s="22" t="n">
        <x:v>3</x:v>
      </x:c>
      <x:c r="B7" s="22" t="str">
        <x:v>Kiểm canonical + cannibalization</x:v>
      </x:c>
      <x:c r="C7" s="22" t="str">
        <x:v>Evergreen Queue + site routes</x:v>
      </x:c>
      <x:c r="D7" s="22" t="str">
        <x:v>New URL / update / merge into parent</x:v>
      </x:c>
      <x:c r="E7" s="22" t="str">
        <x:v>Execution decision</x:v>
      </x:c>
      <x:c r="F7" s="22" t="str">
        <x:v>Destructive routing conflict</x:v>
      </x:c>
      <x:c r="G7" s="22" t="str">
        <x:v>Ghi decision vào Run Log</x:v>
      </x:c>
      <x:c r="H7" s="22" t="str">
        <x:v>Codex</x:v>
      </x:c>
    </x:row>
    <x:row r="8">
      <x:c r="A8" s="22" t="n">
        <x:v>4</x:v>
      </x:c>
      <x:c r="B8" s="22" t="str">
        <x:v>Kiểm nguồn hiện hành</x:v>
      </x:c>
      <x:c r="C8" s="22" t="str">
        <x:v>Publish Source Matrix + Home Credit official</x:v>
      </x:c>
      <x:c r="D8" s="22" t="str">
        <x:v>Claim volatile phải verify trước publish</x:v>
      </x:c>
      <x:c r="E8" s="22" t="str">
        <x:v>Evidence ready</x:v>
      </x:c>
      <x:c r="F8" s="22" t="str">
        <x:v>Nguồn bắt buộc unavailable/contradictory</x:v>
      </x:c>
      <x:c r="G8" s="22" t="str">
        <x:v>Last Checked + Source gate</x:v>
      </x:c>
      <x:c r="H8" s="22" t="str">
        <x:v>Codex</x:v>
      </x:c>
    </x:row>
    <x:row r="9">
      <x:c r="A9" s="22" t="n">
        <x:v>5</x:v>
      </x:c>
      <x:c r="B9" s="22" t="str">
        <x:v>Triển khai bằng UI hiện tại</x:v>
      </x:c>
      <x:c r="C9" s="22" t="str">
        <x:v>Execution Briefs + CTA Matrix + project components</x:v>
      </x:c>
      <x:c r="D9" s="22" t="str">
        <x:v>Reuse components; không redesign</x:v>
      </x:c>
      <x:c r="E9" s="22" t="str">
        <x:v>Code/content changes</x:v>
      </x:c>
      <x:c r="F9" s="22" t="str">
        <x:v>Cần secret/permission mới</x:v>
      </x:c>
      <x:c r="G9" s="22" t="str">
        <x:v>Files/route changed</x:v>
      </x:c>
      <x:c r="H9" s="22" t="str">
        <x:v>Codex</x:v>
      </x:c>
    </x:row>
    <x:row r="10">
      <x:c r="A10" s="22" t="n">
        <x:v>6</x:v>
      </x:c>
      <x:c r="B10" s="22" t="str">
        <x:v>Quality checks</x:v>
      </x:c>
      <x:c r="C10" s="22" t="str">
        <x:v>Project scripts</x:v>
      </x:c>
      <x:c r="D10" s="22" t="str">
        <x:v>Lint/typecheck/test/build theo project</x:v>
      </x:c>
      <x:c r="E10" s="22" t="str">
        <x:v>Pass/fail evidence</x:v>
      </x:c>
      <x:c r="F10" s="22" t="str">
        <x:v>Lỗi mới không thể sửa an toàn</x:v>
      </x:c>
      <x:c r="G10" s="22" t="str">
        <x:v>Run Log checks</x:v>
      </x:c>
      <x:c r="H10" s="22" t="str">
        <x:v>Codex</x:v>
      </x:c>
    </x:row>
    <x:row r="11">
      <x:c r="A11" s="22" t="n">
        <x:v>7</x:v>
      </x:c>
      <x:c r="B11" s="22" t="str">
        <x:v>Git + deploy</x:v>
      </x:c>
      <x:c r="C11" s="22" t="str">
        <x:v>Existing GitHub/Cloudflare workflow</x:v>
      </x:c>
      <x:c r="D11" s="22" t="str">
        <x:v>Commit/push/deploy khi quyền đã có</x:v>
      </x:c>
      <x:c r="E11" s="22" t="str">
        <x:v>Production state</x:v>
      </x:c>
      <x:c r="F11" s="22" t="str">
        <x:v>Thiếu credential/quyền</x:v>
      </x:c>
      <x:c r="G11" s="22" t="str">
        <x:v>Commit/deploy fields</x:v>
      </x:c>
      <x:c r="H11" s="22" t="str">
        <x:v>Codex</x:v>
      </x:c>
    </x:row>
    <x:row r="12">
      <x:c r="A12" s="22" t="n">
        <x:v>8</x:v>
      </x:c>
      <x:c r="B12" s="22" t="str">
        <x:v>Production verify</x:v>
      </x:c>
      <x:c r="C12" s="22" t="str">
        <x:v>1phutdangky.com</x:v>
      </x:c>
      <x:c r="D12" s="22" t="str">
        <x:v>URL, canonical, CTA, source, mobile, runtime</x:v>
      </x:c>
      <x:c r="E12" s="22" t="str">
        <x:v>Verified</x:v>
      </x:c>
      <x:c r="F12" s="22" t="str">
        <x:v>Production regression nghiêm trọng</x:v>
      </x:c>
      <x:c r="G12" s="22" t="str">
        <x:v>Queue → Done / Blocked</x:v>
      </x:c>
      <x:c r="H12" s="22" t="str">
        <x:v>Codex</x:v>
      </x:c>
    </x:row>
    <x:row r="13">
      <x:c r="A13" s="22" t="n">
        <x:v>9</x:v>
      </x:c>
      <x:c r="B13" s="22" t="str">
        <x:v>Chọn item tiếp theo</x:v>
      </x:c>
      <x:c r="C13" s="22" t="str">
        <x:v>Evergreen Queue</x:v>
      </x:c>
      <x:c r="D13" s="22" t="str">
        <x:v>Lần chạy sau tự lấy Ready đầu tiên</x:v>
      </x:c>
      <x:c r="E13" s="22" t="str">
        <x:v>Engine ready</x:v>
      </x:c>
      <x:c r="F13" s="22" t="str">
        <x:v>Không còn Ready</x:v>
      </x:c>
      <x:c r="G13" s="22" t="str">
        <x:v>Discovery Mode</x:v>
      </x:c>
      <x:c r="H13" s="22" t="str">
        <x:v>Codex</x:v>
      </x:c>
    </x:row>
    <x:row r="14">
      <x:c r="A14" s="22" t="n">
        <x:v>10</x:v>
      </x:c>
      <x:c r="B14" s="22" t="str">
        <x:v>Discovery Mode</x:v>
      </x:c>
      <x:c r="C14" s="22" t="str">
        <x:v>Discovery Rules + Search Console nếu có + SERP + official sources</x:v>
      </x:c>
      <x:c r="D14" s="22" t="str">
        <x:v>Tạo 3–5 candidate, chấm điểm, chống cannibalization</x:v>
      </x:c>
      <x:c r="E14" s="22" t="str">
        <x:v>Candidate mới vào queue</x:v>
      </x:c>
      <x:c r="F14" s="22" t="str">
        <x:v>Không có topic đủ chuẩn</x:v>
      </x:c>
      <x:c r="G14" s="22" t="str">
        <x:v>Log discovery result</x:v>
      </x:c>
      <x:c r="H14" s="22" t="str">
        <x:v>Codex</x:v>
      </x:c>
    </x:row>
    <x:row r="16">
      <x:c r="A16" s="67" t="str">
        <x:v>Non-negotiable operating rules</x:v>
      </x:c>
      <x:c r="B16" s="67"/>
      <x:c r="C16" s="67"/>
      <x:c r="D16" s="67"/>
      <x:c r="E16" s="67"/>
      <x:c r="F16" s="67"/>
      <x:c r="G16" s="67"/>
      <x:c r="H16" s="67"/>
    </x:row>
    <x:row r="17">
      <x:c r="A17" s="64" t="str">
        <x:v>Rule</x:v>
      </x:c>
      <x:c r="B17" s="64" t="str">
        <x:v>Requirement</x:v>
      </x:c>
      <x:c r="C17" s="22" t="str"/>
      <x:c r="D17" s="22" t="str"/>
      <x:c r="E17" s="22" t="str"/>
      <x:c r="F17" s="22" t="str"/>
      <x:c r="G17" s="22" t="str"/>
      <x:c r="H17" s="22" t="str"/>
    </x:row>
    <x:row r="18">
      <x:c r="A18" s="22" t="str">
        <x:v>One command</x:v>
      </x:c>
      <x:c r="B18" s="22" t="str">
        <x:v>User chỉ cần nói: Bắt đầu tạo bài mới Home Credit</x:v>
      </x:c>
      <x:c r="C18" s="22" t="str"/>
      <x:c r="D18" s="22" t="str"/>
      <x:c r="E18" s="22" t="str"/>
      <x:c r="F18" s="22" t="str"/>
      <x:c r="G18" s="22" t="str"/>
      <x:c r="H18" s="22" t="str"/>
    </x:row>
    <x:row r="19">
      <x:c r="A19" s="22" t="str">
        <x:v>No calendar dependency</x:v>
      </x:c>
      <x:c r="B19" s="22" t="str">
        <x:v>Không phụ thuộc Day 1–60; 60-day schedule chỉ là backlog khởi tạo.</x:v>
      </x:c>
      <x:c r="C19" s="22" t="str"/>
      <x:c r="D19" s="22" t="str"/>
      <x:c r="E19" s="22" t="str"/>
      <x:c r="F19" s="22" t="str"/>
      <x:c r="G19" s="22" t="str"/>
      <x:c r="H19" s="22" t="str"/>
    </x:row>
    <x:row r="20">
      <x:c r="A20" s="22" t="str">
        <x:v>No forced URL</x:v>
      </x:c>
      <x:c r="B20" s="22" t="str">
        <x:v>Không tạo URL mới chỉ để có 'bài mới'; section/update vẫn được coi là một content run hoàn chỉnh.</x:v>
      </x:c>
      <x:c r="C20" s="22" t="str"/>
      <x:c r="D20" s="22" t="str"/>
      <x:c r="E20" s="22" t="str"/>
      <x:c r="F20" s="22" t="str"/>
      <x:c r="G20" s="22" t="str"/>
      <x:c r="H20" s="22" t="str"/>
    </x:row>
    <x:row r="21">
      <x:c r="A21" s="22" t="str">
        <x:v>No user micromanagement</x:v>
      </x:c>
      <x:c r="B21" s="22" t="str">
        <x:v>Không hỏi user chọn title/topic/URL nếu workbook đã có đủ rule để tự quyết.</x:v>
      </x:c>
      <x:c r="C21" s="22" t="str"/>
      <x:c r="D21" s="22" t="str"/>
      <x:c r="E21" s="22" t="str"/>
      <x:c r="F21" s="22" t="str"/>
      <x:c r="G21" s="22" t="str"/>
      <x:c r="H21" s="22" t="str"/>
    </x:row>
    <x:row r="22">
      <x:c r="A22" s="22" t="str">
        <x:v>Source freshness</x:v>
      </x:c>
      <x:c r="B22" s="22" t="str">
        <x:v>Lãi/phí/điều kiện/thẻ/promo phải kiểm nguồn chính thức tại lần chạy.</x:v>
      </x:c>
      <x:c r="C22" s="22" t="str"/>
      <x:c r="D22" s="22" t="str"/>
      <x:c r="E22" s="22" t="str"/>
      <x:c r="F22" s="22" t="str"/>
      <x:c r="G22" s="22" t="str"/>
      <x:c r="H22" s="22" t="str"/>
    </x:row>
    <x:row r="23">
      <x:c r="A23" s="22" t="str">
        <x:v>State persistence</x:v>
      </x:c>
      <x:c r="B23" s="22" t="str">
        <x:v>Mỗi run bắt buộc cập nhật Evergreen Queue + Run Log để lần sau biết đã làm tới đâu.</x:v>
      </x:c>
      <x:c r="C23" s="22" t="str"/>
      <x:c r="D23" s="22" t="str"/>
      <x:c r="E23" s="22" t="str"/>
      <x:c r="F23" s="22" t="str"/>
      <x:c r="G23" s="22" t="str"/>
      <x:c r="H23" s="22" t="str"/>
    </x:row>
    <x:row r="24">
      <x:c r="A24" s="22" t="str">
        <x:v>UI preservation</x:v>
      </x:c>
      <x:c r="B24" s="22" t="str">
        <x:v>Giữ UI/design system hiện tại của 1phutdangky.com.</x:v>
      </x:c>
      <x:c r="C24" s="22" t="str"/>
      <x:c r="D24" s="22" t="str"/>
      <x:c r="E24" s="22" t="str"/>
      <x:c r="F24" s="22" t="str"/>
      <x:c r="G24" s="22" t="str"/>
      <x:c r="H24" s="22" t="str"/>
    </x:row>
  </x:sheetData>
  <x:mergeCells>
    <x:mergeCell ref="A1:H1"/>
    <x:mergeCell ref="A2:H2"/>
    <x:mergeCell ref="A16:H16"/>
  </x:mergeCells>
  <x:pageMargins left="0.7" right="0.7" top="0.75" bottom="0.75" header="0.3" footer="0.3"/>
</x:worksheet>
</file>

<file path=xl/worksheets/sheet14.xml><?xml version="1.0" encoding="utf-8"?>
<x:worksheet xmlns:x="http://schemas.openxmlformats.org/spreadsheetml/2006/main">
  <x:sheetViews>
    <x:sheetView workbookViewId="0">
      <x:pane xSplit="3" ySplit="4" topLeftCell="D5" activePane="bottomRight" state="frozen"/>
    </x:sheetView>
  </x:sheetViews>
  <x:sheetFormatPr defaultRowHeight="15"/>
  <x:cols>
    <x:col min="1" max="1" width="8" hidden="0" customWidth="1"/>
    <x:col min="2" max="2" width="16" hidden="0" customWidth="1"/>
    <x:col min="3" max="3" width="48" hidden="0" customWidth="1"/>
    <x:col min="4" max="4" width="18" hidden="0" customWidth="1"/>
    <x:col min="5" max="5" width="24" hidden="0" customWidth="1"/>
    <x:col min="6" max="6" width="23" hidden="0" customWidth="1"/>
    <x:col min="7" max="7" width="26" hidden="0" customWidth="1"/>
    <x:col min="8" max="8" width="24" hidden="0" customWidth="1"/>
    <x:col min="9" max="9" width="15" hidden="0" customWidth="1"/>
    <x:col min="10" max="10" width="32" hidden="0" customWidth="1"/>
    <x:col min="11" max="11" width="10" hidden="0" customWidth="1"/>
    <x:col min="12" max="12" width="18" hidden="0" customWidth="1"/>
    <x:col min="13" max="13" width="28" hidden="0" customWidth="1"/>
    <x:col min="14" max="14" width="16" hidden="0" customWidth="1"/>
    <x:col min="15" max="15" width="42" hidden="0" customWidth="1"/>
    <x:col min="16" max="16" width="18" hidden="0" customWidth="1"/>
    <x:col min="17" max="17" width="18" hidden="0" customWidth="1"/>
    <x:col min="18" max="18" width="42" hidden="0" customWidth="1"/>
  </x:cols>
  <x:sheetData>
    <x:row r="1">
      <x:c r="A1" s="58" t="str">
        <x:v>EVERGREEN QUEUE – HOME CREDIT CONTENT ENGINE</x:v>
      </x:c>
      <x:c r="B1" s="58"/>
      <x:c r="C1" s="58"/>
      <x:c r="D1" s="58"/>
      <x:c r="E1" s="58"/>
      <x:c r="F1" s="58"/>
      <x:c r="G1" s="58"/>
      <x:c r="H1" s="58"/>
      <x:c r="I1" s="58"/>
      <x:c r="J1" s="58"/>
      <x:c r="K1" s="58"/>
      <x:c r="L1" s="58"/>
      <x:c r="M1" s="58"/>
      <x:c r="N1" s="58"/>
      <x:c r="O1" s="58"/>
      <x:c r="P1" s="58"/>
      <x:c r="Q1" s="58"/>
      <x:c r="R1" s="58"/>
    </x:row>
    <x:row r="2">
      <x:c r="A2" s="60" t="str">
        <x:v>Queue này không có ngày kết thúc. 60-day plan được dùng làm backlog ban đầu. Khi hết Ready items, Codex chạy Discovery Mode và append candidate mới.</x:v>
      </x:c>
      <x:c r="B2" s="60"/>
      <x:c r="C2" s="60"/>
      <x:c r="D2" s="60"/>
      <x:c r="E2" s="60"/>
      <x:c r="F2" s="60"/>
      <x:c r="G2" s="60"/>
      <x:c r="H2" s="60"/>
      <x:c r="I2" s="60"/>
      <x:c r="J2" s="60"/>
      <x:c r="K2" s="60"/>
      <x:c r="L2" s="60"/>
      <x:c r="M2" s="60"/>
      <x:c r="N2" s="60"/>
      <x:c r="O2" s="60"/>
      <x:c r="P2" s="60"/>
      <x:c r="Q2" s="60"/>
      <x:c r="R2" s="60"/>
    </x:row>
    <x:row r="4">
      <x:c r="A4" s="64" t="str">
        <x:v>Queue #</x:v>
      </x:c>
      <x:c r="B4" s="64" t="str">
        <x:v>Asset ID</x:v>
      </x:c>
      <x:c r="C4" s="64" t="str">
        <x:v>Topic / Task</x:v>
      </x:c>
      <x:c r="D4" s="64" t="str">
        <x:v>Product</x:v>
      </x:c>
      <x:c r="E4" s="64" t="str">
        <x:v>Intent</x:v>
      </x:c>
      <x:c r="F4" s="64" t="str">
        <x:v>Work mode</x:v>
      </x:c>
      <x:c r="G4" s="64" t="str">
        <x:v>URL action</x:v>
      </x:c>
      <x:c r="H4" s="64" t="str">
        <x:v>Canonical / Parent</x:v>
      </x:c>
      <x:c r="I4" s="64" t="str">
        <x:v>CTA level</x:v>
      </x:c>
      <x:c r="J4" s="64" t="str">
        <x:v>Source gate</x:v>
      </x:c>
      <x:c r="K4" s="64" t="str">
        <x:v>Priority</x:v>
      </x:c>
      <x:c r="L4" s="64" t="str">
        <x:v>Status</x:v>
      </x:c>
      <x:c r="M4" s="64" t="str">
        <x:v>Origin</x:v>
      </x:c>
      <x:c r="N4" s="64" t="str">
        <x:v>Last checked</x:v>
      </x:c>
      <x:c r="O4" s="64" t="str">
        <x:v>Route / URL</x:v>
      </x:c>
      <x:c r="P4" s="64" t="str">
        <x:v>Commit</x:v>
      </x:c>
      <x:c r="Q4" s="64" t="str">
        <x:v>Deploy</x:v>
      </x:c>
      <x:c r="R4" s="64" t="str">
        <x:v>Notes</x:v>
      </x:c>
    </x:row>
    <x:row r="5">
      <x:c r="A5" s="22" t="n">
        <x:v>1</x:v>
      </x:c>
      <x:c r="B5" s="22" t="str">
        <x:v>L-PILLAR</x:v>
      </x:c>
      <x:c r="C5" s="22" t="str">
        <x:v>Update: Vay tiền mặt Home Credit online</x:v>
      </x:c>
      <x:c r="D5" s="22" t="str">
        <x:v>Cash Loan</x:v>
      </x:c>
      <x:c r="E5" s="22" t="str">
        <x:v>Transactional</x:v>
      </x:c>
      <x:c r="F5" s="22" t="str">
        <x:v>Update existing</x:v>
      </x:c>
      <x:c r="G5" s="22" t="str">
        <x:v>Keep URL</x:v>
      </x:c>
      <x:c r="H5" s="22" t="str">
        <x:v>Pillar L</x:v>
      </x:c>
      <x:c r="I5" s="22" t="str">
        <x:v>High</x:v>
      </x:c>
      <x:c r="J5" s="22" t="str">
        <x:v>S1/S2/S3</x:v>
      </x:c>
      <x:c r="K5" s="22" t="str">
        <x:v>P0</x:v>
      </x:c>
      <x:c xmlns:x="http://schemas.openxmlformats.org/spreadsheetml/2006/main" r="L5" s="22" t="str">
        <x:v>Done</x:v>
      </x:c>
      <x:c r="M5" s="22" t="str">
        <x:v>Initial 60-day backlog / Day 1</x:v>
      </x:c>
      <x:c xmlns:x="http://schemas.openxmlformats.org/spreadsheetml/2006/main" r="N5" s="22" t="str">
        <x:v>2026-10-28</x:v>
      </x:c>
      <x:c xmlns:x="http://schemas.openxmlformats.org/spreadsheetml/2006/main" r="O5" s="22" t="str">
        <x:v>https://1phutdangky.com/vay-tien-mat/vay-tien-mat-home-credit-online/</x:v>
      </x:c>
      <x:c xmlns:x="http://schemas.openxmlformats.org/spreadsheetml/2006/main" r="P5" s="22" t="str">
        <x:v>50f56521c5afae1afc102cbc694d1fd6b68619b2</x:v>
      </x:c>
      <x:c xmlns:x="http://schemas.openxmlformats.org/spreadsheetml/2006/main" r="Q5" s="22" t="str">
        <x:v>Cloudflare Pages success fcfa3d65-3191-4ac5-8d28-8498798a6986; production verified 2026-10-28</x:v>
      </x:c>
      <x:c xmlns:x="http://schemas.openxmlformats.org/spreadsheetml/2006/main" r="R5" s="22" t="str">
        <x:v>Resumed by explicit owner request. Approved public app link replaces broken URL; code 00064470 entered in app. Existing canonical, UI, title ending online and consent-aware analytics preserved.</x:v>
      </x:c>
    </x:row>
    <x:row r="6">
      <x:c r="A6" s="22" t="n">
        <x:v>2</x:v>
      </x:c>
      <x:c r="B6" s="22" t="str">
        <x:v>C-PILLAR</x:v>
      </x:c>
      <x:c r="C6" s="22" t="str">
        <x:v>Publish: Mở thẻ tín dụng Home Credit online</x:v>
      </x:c>
      <x:c r="D6" s="22" t="str">
        <x:v>Credit Card</x:v>
      </x:c>
      <x:c r="E6" s="22" t="str">
        <x:v>Transactional</x:v>
      </x:c>
      <x:c r="F6" s="22" t="str">
        <x:v>New article</x:v>
      </x:c>
      <x:c r="G6" s="22" t="str">
        <x:v>Create candidate card URL</x:v>
      </x:c>
      <x:c r="H6" s="22" t="str">
        <x:v>Pillar C</x:v>
      </x:c>
      <x:c r="I6" s="22" t="str">
        <x:v>High</x:v>
      </x:c>
      <x:c r="J6" s="22" t="str">
        <x:v>S6/S7/S8</x:v>
      </x:c>
      <x:c r="K6" s="22" t="str">
        <x:v>P0</x:v>
      </x:c>
      <x:c xmlns:x="http://schemas.openxmlformats.org/spreadsheetml/2006/main" r="L6" s="22" t="str">
        <x:v>In progress</x:v>
      </x:c>
      <x:c r="M6" s="22" t="str">
        <x:v>Initial 60-day backlog / Day 2</x:v>
      </x:c>
      <x:c xmlns:x="http://schemas.openxmlformats.org/spreadsheetml/2006/main" r="N6" s="22" t="str">
        <x:v>2026-10-29</x:v>
      </x:c>
      <x:c xmlns:x="http://schemas.openxmlformats.org/spreadsheetml/2006/main" r="O6" s="22" t="str">
        <x:v>https://1phutdangky.com/the-tin-dung/mo-the-tin-dung-home-credit-online/</x:v>
      </x:c>
      <x:c r="P6" s="22"/>
      <x:c xmlns:x="http://schemas.openxmlformats.org/spreadsheetml/2006/main" r="Q6" s="22" t="str">
        <x:v>Pending push and existing Cloudflare deployment</x:v>
      </x:c>
      <x:c xmlns:x="http://schemas.openxmlformats.org/spreadsheetml/2006/main" r="R6" s="22" t="str">
        <x:v>Queue2 C-PILLAR only. New separate credit-card product and pillar; exact owner-approved generic App OneLink and support code00064470, no card-specific attribution/approval promise. Current04Sep2026 tariff columns and16Jul2026 TnC govern; distinct loan owner retained with reciprocal bridge. Shared UI/title visuals untouched.</x:v>
      </x:c>
    </x:row>
    <x:row r="7">
      <x:c r="A7" s="22" t="n">
        <x:v>3</x:v>
      </x:c>
      <x:c r="B7" s="22" t="str">
        <x:v>L-RATE</x:v>
      </x:c>
      <x:c r="C7" s="22" t="str">
        <x:v>Lãi suất vay tiền mặt Home Credit: cách đọc</x:v>
      </x:c>
      <x:c r="D7" s="22" t="str">
        <x:v>Cash Loan</x:v>
      </x:c>
      <x:c r="E7" s="22" t="str">
        <x:v>Cost</x:v>
      </x:c>
      <x:c r="F7" s="22" t="str">
        <x:v>New article</x:v>
      </x:c>
      <x:c r="G7" s="22" t="str">
        <x:v>Create support URL</x:v>
      </x:c>
      <x:c r="H7" s="22" t="str">
        <x:v>Pillar L</x:v>
      </x:c>
      <x:c r="I7" s="22" t="str">
        <x:v>Medium</x:v>
      </x:c>
      <x:c r="J7" s="22" t="str">
        <x:v>S1/S2</x:v>
      </x:c>
      <x:c r="K7" s="22" t="str">
        <x:v>P0</x:v>
      </x:c>
      <x:c r="L7" s="22" t="str">
        <x:v>Ready</x:v>
      </x:c>
      <x:c r="M7" s="22" t="str">
        <x:v>Initial 60-day backlog / Day 3</x:v>
      </x:c>
      <x:c r="N7" s="22"/>
      <x:c r="O7" s="22"/>
      <x:c r="P7" s="22"/>
      <x:c r="Q7" s="22"/>
      <x:c r="R7" s="22" t="str">
        <x:v>Flat vs declining balance</x:v>
      </x:c>
    </x:row>
    <x:row r="8">
      <x:c r="A8" s="22" t="n">
        <x:v>4</x:v>
      </x:c>
      <x:c r="B8" s="22" t="str">
        <x:v>L-REJECT</x:v>
      </x:c>
      <x:c r="C8" s="22" t="str">
        <x:v>Hồ sơ vay Home Credit bị từ chối</x:v>
      </x:c>
      <x:c r="D8" s="22" t="str">
        <x:v>Cash Loan</x:v>
      </x:c>
      <x:c r="E8" s="22" t="str">
        <x:v>Troubleshooting</x:v>
      </x:c>
      <x:c r="F8" s="22" t="str">
        <x:v>New article</x:v>
      </x:c>
      <x:c r="G8" s="22" t="str">
        <x:v>Create support URL</x:v>
      </x:c>
      <x:c r="H8" s="22" t="str">
        <x:v>Pillar L</x:v>
      </x:c>
      <x:c r="I8" s="22" t="str">
        <x:v>Low-Medium</x:v>
      </x:c>
      <x:c r="J8" s="22" t="str">
        <x:v>S4/S5</x:v>
      </x:c>
      <x:c r="K8" s="22" t="str">
        <x:v>P0</x:v>
      </x:c>
      <x:c r="L8" s="22" t="str">
        <x:v>Ready</x:v>
      </x:c>
      <x:c r="M8" s="22" t="str">
        <x:v>Initial 60-day backlog / Day 4</x:v>
      </x:c>
      <x:c r="N8" s="22"/>
      <x:c r="O8" s="22"/>
      <x:c r="P8" s="22"/>
      <x:c r="Q8" s="22"/>
      <x:c r="R8" s="22" t="str">
        <x:v>No scoring bypass</x:v>
      </x:c>
    </x:row>
    <x:row r="9">
      <x:c r="A9" s="22" t="n">
        <x:v>5</x:v>
      </x:c>
      <x:c r="B9" s="22" t="str">
        <x:v>L-COST</x:v>
      </x:c>
      <x:c r="C9" s="22" t="str">
        <x:v>Vay Home Credit có phí gì?</x:v>
      </x:c>
      <x:c r="D9" s="22" t="str">
        <x:v>Cash Loan</x:v>
      </x:c>
      <x:c r="E9" s="22" t="str">
        <x:v>Cost</x:v>
      </x:c>
      <x:c r="F9" s="22" t="str">
        <x:v>New article</x:v>
      </x:c>
      <x:c r="G9" s="22" t="str">
        <x:v>Create support URL</x:v>
      </x:c>
      <x:c r="H9" s="22" t="str">
        <x:v>Pillar L</x:v>
      </x:c>
      <x:c r="I9" s="22" t="str">
        <x:v>Medium</x:v>
      </x:c>
      <x:c r="J9" s="22" t="str">
        <x:v>S1 + contract lookup</x:v>
      </x:c>
      <x:c r="K9" s="22" t="str">
        <x:v>P0</x:v>
      </x:c>
      <x:c r="L9" s="22" t="str">
        <x:v>Ready</x:v>
      </x:c>
      <x:c r="M9" s="22" t="str">
        <x:v>Initial 60-day backlog / Day 5</x:v>
      </x:c>
      <x:c r="N9" s="22"/>
      <x:c r="O9" s="22"/>
      <x:c r="P9" s="22"/>
      <x:c r="Q9" s="22"/>
      <x:c r="R9" s="22" t="str">
        <x:v>Insurance/fees/early settlement</x:v>
      </x:c>
    </x:row>
    <x:row r="10">
      <x:c r="A10" s="22" t="n">
        <x:v>6</x:v>
      </x:c>
      <x:c r="B10" s="22" t="str">
        <x:v>C-COST</x:v>
      </x:c>
      <x:c r="C10" s="22" t="str">
        <x:v>Phí và lãi suất thẻ tín dụng Home Credit</x:v>
      </x:c>
      <x:c r="D10" s="22" t="str">
        <x:v>Credit Card</x:v>
      </x:c>
      <x:c r="E10" s="22" t="str">
        <x:v>Cost</x:v>
      </x:c>
      <x:c r="F10" s="22" t="str">
        <x:v>New article</x:v>
      </x:c>
      <x:c r="G10" s="22" t="str">
        <x:v>Create support URL</x:v>
      </x:c>
      <x:c r="H10" s="22" t="str">
        <x:v>Pillar C</x:v>
      </x:c>
      <x:c r="I10" s="22" t="str">
        <x:v>Medium</x:v>
      </x:c>
      <x:c r="J10" s="22" t="str">
        <x:v>S8</x:v>
      </x:c>
      <x:c r="K10" s="22" t="str">
        <x:v>P0</x:v>
      </x:c>
      <x:c r="L10" s="22" t="str">
        <x:v>Ready</x:v>
      </x:c>
      <x:c r="M10" s="22" t="str">
        <x:v>Initial 60-day backlog / Day 6</x:v>
      </x:c>
      <x:c r="N10" s="22"/>
      <x:c r="O10" s="22"/>
      <x:c r="P10" s="22"/>
      <x:c r="Q10" s="22"/>
      <x:c r="R10" s="22" t="str">
        <x:v>Latest effective tariff only</x:v>
      </x:c>
    </x:row>
    <x:row r="11">
      <x:c r="A11" s="22" t="n">
        <x:v>7</x:v>
      </x:c>
      <x:c r="B11" s="22" t="str">
        <x:v>C-CASH</x:v>
      </x:c>
      <x:c r="C11" s="22" t="str">
        <x:v>Rút tiền mặt từ thẻ tín dụng Home Credit</x:v>
      </x:c>
      <x:c r="D11" s="22" t="str">
        <x:v>Credit Card</x:v>
      </x:c>
      <x:c r="E11" s="22" t="str">
        <x:v>Cash advance</x:v>
      </x:c>
      <x:c r="F11" s="22" t="str">
        <x:v>New article</x:v>
      </x:c>
      <x:c r="G11" s="22" t="str">
        <x:v>Create support URL</x:v>
      </x:c>
      <x:c r="H11" s="22" t="str">
        <x:v>Pillar C</x:v>
      </x:c>
      <x:c r="I11" s="22" t="str">
        <x:v>Low</x:v>
      </x:c>
      <x:c r="J11" s="22" t="str">
        <x:v>S7/S8</x:v>
      </x:c>
      <x:c r="K11" s="22" t="str">
        <x:v>P0</x:v>
      </x:c>
      <x:c r="L11" s="22" t="str">
        <x:v>Ready</x:v>
      </x:c>
      <x:c r="M11" s="22" t="str">
        <x:v>Initial 60-day backlog / Day 7</x:v>
      </x:c>
      <x:c r="N11" s="22"/>
      <x:c r="O11" s="22"/>
      <x:c r="P11" s="22"/>
      <x:c r="Q11" s="22"/>
      <x:c r="R11" s="22" t="str">
        <x:v>Do not encourage borrowing via cash advance</x:v>
      </x:c>
    </x:row>
    <x:row r="12">
      <x:c r="A12" s="22" t="n">
        <x:v>8</x:v>
      </x:c>
      <x:c r="B12" s="22" t="str">
        <x:v>C-INSTALL</x:v>
      </x:c>
      <x:c r="C12" s="22" t="str">
        <x:v>Trả góp thẻ tín dụng Home Credit</x:v>
      </x:c>
      <x:c r="D12" s="22" t="str">
        <x:v>Credit Card</x:v>
      </x:c>
      <x:c r="E12" s="22" t="str">
        <x:v>Installment</x:v>
      </x:c>
      <x:c r="F12" s="22" t="str">
        <x:v>New article</x:v>
      </x:c>
      <x:c r="G12" s="22" t="str">
        <x:v>Create support URL</x:v>
      </x:c>
      <x:c r="H12" s="22" t="str">
        <x:v>Pillar C</x:v>
      </x:c>
      <x:c r="I12" s="22" t="str">
        <x:v>Low</x:v>
      </x:c>
      <x:c r="J12" s="22" t="str">
        <x:v>S8</x:v>
      </x:c>
      <x:c r="K12" s="22" t="str">
        <x:v>P0</x:v>
      </x:c>
      <x:c r="L12" s="22" t="str">
        <x:v>Ready</x:v>
      </x:c>
      <x:c r="M12" s="22" t="str">
        <x:v>Initial 60-day backlog / Day 8</x:v>
      </x:c>
      <x:c r="N12" s="22"/>
      <x:c r="O12" s="22"/>
      <x:c r="P12" s="22"/>
      <x:c r="Q12" s="22"/>
      <x:c r="R12" s="22" t="str">
        <x:v>Latest terms only</x:v>
      </x:c>
    </x:row>
    <x:row r="13">
      <x:c r="A13" s="22" t="n">
        <x:v>9</x:v>
      </x:c>
      <x:c r="B13" s="22" t="str">
        <x:v>L-NEED</x:v>
      </x:c>
      <x:c r="C13" s="22" t="str">
        <x:v>Vay Home Credit cần gì?</x:v>
      </x:c>
      <x:c r="D13" s="22" t="str">
        <x:v>Cash Loan</x:v>
      </x:c>
      <x:c r="E13" s="22" t="str">
        <x:v>Eligibility</x:v>
      </x:c>
      <x:c r="F13" s="22" t="str">
        <x:v>New article</x:v>
      </x:c>
      <x:c r="G13" s="22" t="str">
        <x:v>Create support URL</x:v>
      </x:c>
      <x:c r="H13" s="22" t="str">
        <x:v>Pillar L</x:v>
      </x:c>
      <x:c r="I13" s="22" t="str">
        <x:v>Medium</x:v>
      </x:c>
      <x:c r="J13" s="22" t="str">
        <x:v>S3</x:v>
      </x:c>
      <x:c r="K13" s="22" t="str">
        <x:v>P1</x:v>
      </x:c>
      <x:c r="L13" s="22" t="str">
        <x:v>Ready</x:v>
      </x:c>
      <x:c r="M13" s="22" t="str">
        <x:v>Initial 60-day backlog / Day 9</x:v>
      </x:c>
      <x:c r="N13" s="22"/>
      <x:c r="O13" s="22"/>
      <x:c r="P13" s="22"/>
      <x:c r="Q13" s="22"/>
      <x:c r="R13" s="22" t="str">
        <x:v>Qualification</x:v>
      </x:c>
    </x:row>
    <x:row r="14">
      <x:c r="A14" s="22" t="n">
        <x:v>10</x:v>
      </x:c>
      <x:c r="B14" s="22" t="str">
        <x:v>L-TIME</x:v>
      </x:c>
      <x:c r="C14" s="22" t="str">
        <x:v>Home Credit duyệt hồ sơ và giải ngân bao lâu?</x:v>
      </x:c>
      <x:c r="D14" s="22" t="str">
        <x:v>Cash Loan</x:v>
      </x:c>
      <x:c r="E14" s="22" t="str">
        <x:v>Timing</x:v>
      </x:c>
      <x:c r="F14" s="22" t="str">
        <x:v>Conditional article</x:v>
      </x:c>
      <x:c r="G14" s="22" t="str">
        <x:v>Conditional URL</x:v>
      </x:c>
      <x:c r="H14" s="22" t="str">
        <x:v>Pillar L</x:v>
      </x:c>
      <x:c r="I14" s="22" t="str">
        <x:v>Low-Medium</x:v>
      </x:c>
      <x:c r="J14" s="22" t="str">
        <x:v>S1</x:v>
      </x:c>
      <x:c r="K14" s="22" t="str">
        <x:v>P1</x:v>
      </x:c>
      <x:c r="L14" s="22" t="str">
        <x:v>Research</x:v>
      </x:c>
      <x:c r="M14" s="22" t="str">
        <x:v>Initial 60-day backlog / Day 10</x:v>
      </x:c>
      <x:c r="N14" s="22"/>
      <x:c r="O14" s="22"/>
      <x:c r="P14" s="22"/>
      <x:c r="Q14" s="22"/>
      <x:c r="R14" s="22" t="str">
        <x:v>Could be FAQ</x:v>
      </x:c>
    </x:row>
    <x:row r="15">
      <x:c r="A15" s="22" t="n">
        <x:v>11</x:v>
      </x:c>
      <x:c r="B15" s="22" t="str">
        <x:v>L-PAY</x:v>
      </x:c>
      <x:c r="C15" s="22" t="str">
        <x:v>Thanh toán khoản vay Home Credit</x:v>
      </x:c>
      <x:c r="D15" s="22" t="str">
        <x:v>Cash Loan</x:v>
      </x:c>
      <x:c r="E15" s="22" t="str">
        <x:v>Servicing</x:v>
      </x:c>
      <x:c r="F15" s="22" t="str">
        <x:v>New article</x:v>
      </x:c>
      <x:c r="G15" s="22" t="str">
        <x:v>Create support URL</x:v>
      </x:c>
      <x:c r="H15" s="22" t="str">
        <x:v>Pillar L</x:v>
      </x:c>
      <x:c r="I15" s="22" t="str">
        <x:v>Low</x:v>
      </x:c>
      <x:c r="J15" s="22" t="str">
        <x:v>S9</x:v>
      </x:c>
      <x:c r="K15" s="22" t="str">
        <x:v>P1</x:v>
      </x:c>
      <x:c r="L15" s="22" t="str">
        <x:v>Ready</x:v>
      </x:c>
      <x:c r="M15" s="22" t="str">
        <x:v>Initial 60-day backlog / Day 11</x:v>
      </x:c>
      <x:c r="N15" s="22"/>
      <x:c r="O15" s="22"/>
      <x:c r="P15" s="22"/>
      <x:c r="Q15" s="22"/>
      <x:c r="R15" s="22" t="str">
        <x:v>Post-action</x:v>
      </x:c>
    </x:row>
    <x:row r="16">
      <x:c r="A16" s="22" t="n">
        <x:v>12</x:v>
      </x:c>
      <x:c r="B16" s="22" t="str">
        <x:v>C-NEED</x:v>
      </x:c>
      <x:c r="C16" s="22" t="str">
        <x:v>Điều kiện mở thẻ tín dụng Home Credit</x:v>
      </x:c>
      <x:c r="D16" s="22" t="str">
        <x:v>Credit Card</x:v>
      </x:c>
      <x:c r="E16" s="22" t="str">
        <x:v>Eligibility</x:v>
      </x:c>
      <x:c r="F16" s="22" t="str">
        <x:v>New article</x:v>
      </x:c>
      <x:c r="G16" s="22" t="str">
        <x:v>Create support URL</x:v>
      </x:c>
      <x:c r="H16" s="22" t="str">
        <x:v>Pillar C</x:v>
      </x:c>
      <x:c r="I16" s="22" t="str">
        <x:v>Medium</x:v>
      </x:c>
      <x:c r="J16" s="22" t="str">
        <x:v>S6</x:v>
      </x:c>
      <x:c r="K16" s="22" t="str">
        <x:v>P1</x:v>
      </x:c>
      <x:c r="L16" s="22" t="str">
        <x:v>Ready</x:v>
      </x:c>
      <x:c r="M16" s="22" t="str">
        <x:v>Initial 60-day backlog / Day 12</x:v>
      </x:c>
      <x:c r="N16" s="22"/>
      <x:c r="O16" s="22"/>
      <x:c r="P16" s="22"/>
      <x:c r="Q16" s="22"/>
      <x:c r="R16" s="22" t="str">
        <x:v>No approval promise</x:v>
      </x:c>
    </x:row>
    <x:row r="17">
      <x:c r="A17" s="22" t="n">
        <x:v>13</x:v>
      </x:c>
      <x:c r="B17" s="22" t="str">
        <x:v>C-STATEMENT</x:v>
      </x:c>
      <x:c r="C17" s="22" t="str">
        <x:v>Sao kê, ngày đến hạn và thanh toán tối thiểu</x:v>
      </x:c>
      <x:c r="D17" s="22" t="str">
        <x:v>Credit Card</x:v>
      </x:c>
      <x:c r="E17" s="22" t="str">
        <x:v>Billing</x:v>
      </x:c>
      <x:c r="F17" s="22" t="str">
        <x:v>New article</x:v>
      </x:c>
      <x:c r="G17" s="22" t="str">
        <x:v>Create support URL</x:v>
      </x:c>
      <x:c r="H17" s="22" t="str">
        <x:v>Pillar C</x:v>
      </x:c>
      <x:c r="I17" s="22" t="str">
        <x:v>Low</x:v>
      </x:c>
      <x:c r="J17" s="22" t="str">
        <x:v>S7/S8</x:v>
      </x:c>
      <x:c r="K17" s="22" t="str">
        <x:v>P1</x:v>
      </x:c>
      <x:c r="L17" s="22" t="str">
        <x:v>Ready</x:v>
      </x:c>
      <x:c r="M17" s="22" t="str">
        <x:v>Initial 60-day backlog / Day 13</x:v>
      </x:c>
      <x:c r="N17" s="22"/>
      <x:c r="O17" s="22"/>
      <x:c r="P17" s="22"/>
      <x:c r="Q17" s="22"/>
      <x:c r="R17" s="22" t="str">
        <x:v>Current rules</x:v>
      </x:c>
    </x:row>
    <x:row r="18">
      <x:c r="A18" s="22" t="n">
        <x:v>14</x:v>
      </x:c>
      <x:c r="B18" s="22" t="str">
        <x:v>C-ACTIVATE</x:v>
      </x:c>
      <x:c r="C18" s="22" t="str">
        <x:v>Cách kích hoạt thẻ tín dụng Home Credit</x:v>
      </x:c>
      <x:c r="D18" s="22" t="str">
        <x:v>Credit Card</x:v>
      </x:c>
      <x:c r="E18" s="22" t="str">
        <x:v>Activation</x:v>
      </x:c>
      <x:c r="F18" s="22" t="str">
        <x:v>Conditional article</x:v>
      </x:c>
      <x:c r="G18" s="22" t="str">
        <x:v>Conditional URL</x:v>
      </x:c>
      <x:c r="H18" s="22" t="str">
        <x:v>Pillar C</x:v>
      </x:c>
      <x:c r="I18" s="22" t="str">
        <x:v>Low</x:v>
      </x:c>
      <x:c r="J18" s="22" t="str">
        <x:v>S7</x:v>
      </x:c>
      <x:c r="K18" s="22" t="str">
        <x:v>P1</x:v>
      </x:c>
      <x:c r="L18" s="22" t="str">
        <x:v>Research</x:v>
      </x:c>
      <x:c r="M18" s="22" t="str">
        <x:v>Initial 60-day backlog / Day 14</x:v>
      </x:c>
      <x:c r="N18" s="22"/>
      <x:c r="O18" s="22"/>
      <x:c r="P18" s="22"/>
      <x:c r="Q18" s="22"/>
      <x:c r="R18" s="22" t="str">
        <x:v>Post-approval</x:v>
      </x:c>
    </x:row>
    <x:row r="19">
      <x:c r="A19" s="22" t="n">
        <x:v>15</x:v>
      </x:c>
      <x:c r="B19" s="22" t="str">
        <x:v>B-COMPARE</x:v>
      </x:c>
      <x:c r="C19" s="22" t="str">
        <x:v>Vay tiền mặt hay thẻ tín dụng Home Credit?</x:v>
      </x:c>
      <x:c r="D19" s="22" t="str">
        <x:v>Bridge</x:v>
      </x:c>
      <x:c r="E19" s="22" t="str">
        <x:v>Clarification</x:v>
      </x:c>
      <x:c r="F19" s="22" t="str">
        <x:v>New article</x:v>
      </x:c>
      <x:c r="G19" s="22" t="str">
        <x:v>Create bridge URL</x:v>
      </x:c>
      <x:c r="H19" s="22" t="str">
        <x:v>L↔C</x:v>
      </x:c>
      <x:c r="I19" s="22" t="str">
        <x:v>Low-Medium</x:v>
      </x:c>
      <x:c r="J19" s="22" t="str">
        <x:v>S1/S6/S8</x:v>
      </x:c>
      <x:c r="K19" s="22" t="str">
        <x:v>P1</x:v>
      </x:c>
      <x:c r="L19" s="22" t="str">
        <x:v>Ready</x:v>
      </x:c>
      <x:c r="M19" s="22" t="str">
        <x:v>Initial 60-day backlog / Day 15</x:v>
      </x:c>
      <x:c r="N19" s="22"/>
      <x:c r="O19" s="22"/>
      <x:c r="P19" s="22"/>
      <x:c r="Q19" s="22"/>
      <x:c r="R19" s="22" t="str">
        <x:v>No personalized recommendation</x:v>
      </x:c>
    </x:row>
    <x:row r="20">
      <x:c r="A20" s="22" t="n">
        <x:v>16</x:v>
      </x:c>
      <x:c r="B20" s="22" t="str">
        <x:v>L-AGE</x:v>
      </x:c>
      <x:c r="C20" s="22" t="str">
        <x:v>Bao nhiêu tuổi được vay tiền mặt Home Credit?</x:v>
      </x:c>
      <x:c r="D20" s="22" t="str">
        <x:v>Cash Loan</x:v>
      </x:c>
      <x:c r="E20" s="22" t="str">
        <x:v>Eligibility</x:v>
      </x:c>
      <x:c r="F20" s="22" t="str">
        <x:v>Section/article review</x:v>
      </x:c>
      <x:c r="G20" s="22" t="str">
        <x:v>No new URL by default</x:v>
      </x:c>
      <x:c r="H20" s="22" t="str">
        <x:v>L-NEED</x:v>
      </x:c>
      <x:c r="I20" s="22" t="str">
        <x:v>Medium</x:v>
      </x:c>
      <x:c r="J20" s="22" t="str">
        <x:v>S3 + current Home Credit age page</x:v>
      </x:c>
      <x:c r="K20" s="22" t="str">
        <x:v>P1</x:v>
      </x:c>
      <x:c r="L20" s="22" t="str">
        <x:v>Research</x:v>
      </x:c>
      <x:c r="M20" s="22" t="str">
        <x:v>Initial 60-day backlog / Day 16</x:v>
      </x:c>
      <x:c r="N20" s="22"/>
      <x:c r="O20" s="22"/>
      <x:c r="P20" s="22"/>
      <x:c r="Q20" s="22"/>
      <x:c r="R20" s="22" t="str">
        <x:v>YMYL</x:v>
      </x:c>
    </x:row>
    <x:row r="21">
      <x:c r="A21" s="22" t="n">
        <x:v>17</x:v>
      </x:c>
      <x:c r="B21" s="22" t="str">
        <x:v>L-INCOME</x:v>
      </x:c>
      <x:c r="C21" s="22" t="str">
        <x:v>Vay Home Credit có cần chứng minh thu nhập?</x:v>
      </x:c>
      <x:c r="D21" s="22" t="str">
        <x:v>Cash Loan</x:v>
      </x:c>
      <x:c r="E21" s="22" t="str">
        <x:v>Eligibility</x:v>
      </x:c>
      <x:c r="F21" s="22" t="str">
        <x:v>Section first</x:v>
      </x:c>
      <x:c r="G21" s="22" t="str">
        <x:v>No new URL by default</x:v>
      </x:c>
      <x:c r="H21" s="22" t="str">
        <x:v>L-NEED</x:v>
      </x:c>
      <x:c r="I21" s="22" t="str">
        <x:v>Medium</x:v>
      </x:c>
      <x:c r="J21" s="22" t="str">
        <x:v>S3</x:v>
      </x:c>
      <x:c r="K21" s="22" t="str">
        <x:v>P1</x:v>
      </x:c>
      <x:c r="L21" s="22" t="str">
        <x:v>Ready</x:v>
      </x:c>
      <x:c r="M21" s="22" t="str">
        <x:v>Initial 60-day backlog / Day 17</x:v>
      </x:c>
      <x:c r="N21" s="22"/>
      <x:c r="O21" s="22"/>
      <x:c r="P21" s="22"/>
      <x:c r="Q21" s="22"/>
      <x:c r="R21" s="22" t="str">
        <x:v>Different by requested limit</x:v>
      </x:c>
    </x:row>
    <x:row r="22">
      <x:c r="A22" s="22" t="n">
        <x:v>18</x:v>
      </x:c>
      <x:c r="B22" s="22" t="str">
        <x:v>L-LIMIT</x:v>
      </x:c>
      <x:c r="C22" s="22" t="str">
        <x:v>Hạn mức và kỳ hạn vay Home Credit</x:v>
      </x:c>
      <x:c r="D22" s="22" t="str">
        <x:v>Cash Loan</x:v>
      </x:c>
      <x:c r="E22" s="22" t="str">
        <x:v>Limit/term</x:v>
      </x:c>
      <x:c r="F22" s="22" t="str">
        <x:v>Section/table</x:v>
      </x:c>
      <x:c r="G22" s="22" t="str">
        <x:v>No new URL</x:v>
      </x:c>
      <x:c r="H22" s="22" t="str">
        <x:v>L-PILLAR</x:v>
      </x:c>
      <x:c r="I22" s="22" t="str">
        <x:v>Medium</x:v>
      </x:c>
      <x:c r="J22" s="22" t="str">
        <x:v>S1/S2</x:v>
      </x:c>
      <x:c r="K22" s="22" t="str">
        <x:v>P1</x:v>
      </x:c>
      <x:c r="L22" s="22" t="str">
        <x:v>Ready</x:v>
      </x:c>
      <x:c r="M22" s="22" t="str">
        <x:v>Initial 60-day backlog / Day 18</x:v>
      </x:c>
      <x:c r="N22" s="22"/>
      <x:c r="O22" s="22"/>
      <x:c r="P22" s="22"/>
      <x:c r="Q22" s="22"/>
      <x:c r="R22" s="22" t="str">
        <x:v>Dynamic</x:v>
      </x:c>
    </x:row>
    <x:row r="23">
      <x:c r="A23" s="22" t="n">
        <x:v>19</x:v>
      </x:c>
      <x:c r="B23" s="22" t="str">
        <x:v>L-REAPPLY</x:v>
      </x:c>
      <x:c r="C23" s="22" t="str">
        <x:v>Bị từ chối thì khi nào đăng ký lại?</x:v>
      </x:c>
      <x:c r="D23" s="22" t="str">
        <x:v>Cash Loan</x:v>
      </x:c>
      <x:c r="E23" s="22" t="str">
        <x:v>Troubleshooting</x:v>
      </x:c>
      <x:c r="F23" s="22" t="str">
        <x:v>Section</x:v>
      </x:c>
      <x:c r="G23" s="22" t="str">
        <x:v>No new URL</x:v>
      </x:c>
      <x:c r="H23" s="22" t="str">
        <x:v>L-REJECT</x:v>
      </x:c>
      <x:c r="I23" s="22" t="str">
        <x:v>Low</x:v>
      </x:c>
      <x:c r="J23" s="22" t="str">
        <x:v>S4/S5</x:v>
      </x:c>
      <x:c r="K23" s="22" t="str">
        <x:v>P1</x:v>
      </x:c>
      <x:c r="L23" s="22" t="str">
        <x:v>Ready</x:v>
      </x:c>
      <x:c r="M23" s="22" t="str">
        <x:v>Initial 60-day backlog / Day 19</x:v>
      </x:c>
      <x:c r="N23" s="22"/>
      <x:c r="O23" s="22"/>
      <x:c r="P23" s="22"/>
      <x:c r="Q23" s="22"/>
      <x:c r="R23" s="22" t="str">
        <x:v>Sources phrase differently</x:v>
      </x:c>
    </x:row>
    <x:row r="24">
      <x:c r="A24" s="22" t="n">
        <x:v>20</x:v>
      </x:c>
      <x:c r="B24" s="22" t="str">
        <x:v>L-REPEAT</x:v>
      </x:c>
      <x:c r="C24" s="22" t="str">
        <x:v>Đang có khoản vay Home Credit có vay thêm được không?</x:v>
      </x:c>
      <x:c r="D24" s="22" t="str">
        <x:v>Cash Loan</x:v>
      </x:c>
      <x:c r="E24" s="22" t="str">
        <x:v>Repeat eligibility</x:v>
      </x:c>
      <x:c r="F24" s="22" t="str">
        <x:v>Conditional article</x:v>
      </x:c>
      <x:c r="G24" s="22" t="str">
        <x:v>Conditional URL</x:v>
      </x:c>
      <x:c r="H24" s="22" t="str">
        <x:v>Pillar L</x:v>
      </x:c>
      <x:c r="I24" s="22" t="str">
        <x:v>Low-Medium</x:v>
      </x:c>
      <x:c r="J24" s="22" t="str">
        <x:v>S4</x:v>
      </x:c>
      <x:c r="K24" s="22" t="str">
        <x:v>P1</x:v>
      </x:c>
      <x:c r="L24" s="22" t="str">
        <x:v>Research</x:v>
      </x:c>
      <x:c r="M24" s="22" t="str">
        <x:v>Initial 60-day backlog / Day 20</x:v>
      </x:c>
      <x:c r="N24" s="22"/>
      <x:c r="O24" s="22"/>
      <x:c r="P24" s="22"/>
      <x:c r="Q24" s="22"/>
      <x:c r="R24" s="22" t="str">
        <x:v>Offer-dependent</x:v>
      </x:c>
    </x:row>
    <x:row r="25">
      <x:c r="A25" s="22" t="n">
        <x:v>21</x:v>
      </x:c>
      <x:c r="B25" s="22" t="str">
        <x:v>L-LATE</x:v>
      </x:c>
      <x:c r="C25" s="22" t="str">
        <x:v>Trễ hạn thanh toán Home Credit phải làm sao?</x:v>
      </x:c>
      <x:c r="D25" s="22" t="str">
        <x:v>Cash Loan</x:v>
      </x:c>
      <x:c r="E25" s="22" t="str">
        <x:v>Troubleshooting</x:v>
      </x:c>
      <x:c r="F25" s="22" t="str">
        <x:v>Section/support</x:v>
      </x:c>
      <x:c r="G25" s="22" t="str">
        <x:v>No new URL by default</x:v>
      </x:c>
      <x:c r="H25" s="22" t="str">
        <x:v>L-PAY</x:v>
      </x:c>
      <x:c r="I25" s="22" t="str">
        <x:v>Low</x:v>
      </x:c>
      <x:c r="J25" s="22" t="str">
        <x:v>Official current guidance</x:v>
      </x:c>
      <x:c r="K25" s="22" t="str">
        <x:v>P1</x:v>
      </x:c>
      <x:c r="L25" s="22" t="str">
        <x:v>Ready</x:v>
      </x:c>
      <x:c r="M25" s="22" t="str">
        <x:v>Initial 60-day backlog / Day 21</x:v>
      </x:c>
      <x:c r="N25" s="22"/>
      <x:c r="O25" s="22"/>
      <x:c r="P25" s="22"/>
      <x:c r="Q25" s="22"/>
      <x:c r="R25" s="22" t="str">
        <x:v>No avoidance advice</x:v>
      </x:c>
    </x:row>
    <x:row r="26">
      <x:c r="A26" s="22" t="n">
        <x:v>22</x:v>
      </x:c>
      <x:c r="B26" s="22" t="str">
        <x:v>L-EARLY</x:v>
      </x:c>
      <x:c r="C26" s="22" t="str">
        <x:v>Tất toán Home Credit trước hạn có phí không?</x:v>
      </x:c>
      <x:c r="D26" s="22" t="str">
        <x:v>Cash Loan</x:v>
      </x:c>
      <x:c r="E26" s="22" t="str">
        <x:v>Cost/servicing</x:v>
      </x:c>
      <x:c r="F26" s="22" t="str">
        <x:v>Conditional article</x:v>
      </x:c>
      <x:c r="G26" s="22" t="str">
        <x:v>Conditional URL</x:v>
      </x:c>
      <x:c r="H26" s="22" t="str">
        <x:v>L-COST</x:v>
      </x:c>
      <x:c r="I26" s="22" t="str">
        <x:v>Low</x:v>
      </x:c>
      <x:c r="J26" s="22" t="str">
        <x:v>Latest contract/fee terms</x:v>
      </x:c>
      <x:c r="K26" s="22" t="str">
        <x:v>P1</x:v>
      </x:c>
      <x:c r="L26" s="22" t="str">
        <x:v>Research</x:v>
      </x:c>
      <x:c r="M26" s="22" t="str">
        <x:v>Initial 60-day backlog / Day 22</x:v>
      </x:c>
      <x:c r="N26" s="22"/>
      <x:c r="O26" s="22"/>
      <x:c r="P26" s="22"/>
      <x:c r="Q26" s="22"/>
      <x:c r="R26" s="22" t="str">
        <x:v>Contract-specific</x:v>
      </x:c>
    </x:row>
    <x:row r="27">
      <x:c r="A27" s="22" t="n">
        <x:v>23</x:v>
      </x:c>
      <x:c r="B27" s="22" t="str">
        <x:v>L-INSURANCE</x:v>
      </x:c>
      <x:c r="C27" s="22" t="str">
        <x:v>Bảo hiểm khoản vay Home Credit có bắt buộc không?</x:v>
      </x:c>
      <x:c r="D27" s="22" t="str">
        <x:v>Cash Loan</x:v>
      </x:c>
      <x:c r="E27" s="22" t="str">
        <x:v>Cost/decision</x:v>
      </x:c>
      <x:c r="F27" s="22" t="str">
        <x:v>Section</x:v>
      </x:c>
      <x:c r="G27" s="22" t="str">
        <x:v>No new URL</x:v>
      </x:c>
      <x:c r="H27" s="22" t="str">
        <x:v>L-COST</x:v>
      </x:c>
      <x:c r="I27" s="22" t="str">
        <x:v>Medium</x:v>
      </x:c>
      <x:c r="J27" s="22" t="str">
        <x:v>S1 + current contract</x:v>
      </x:c>
      <x:c r="K27" s="22" t="str">
        <x:v>P1</x:v>
      </x:c>
      <x:c r="L27" s="22" t="str">
        <x:v>Ready</x:v>
      </x:c>
      <x:c r="M27" s="22" t="str">
        <x:v>Initial 60-day backlog / Day 23</x:v>
      </x:c>
      <x:c r="N27" s="22"/>
      <x:c r="O27" s="22"/>
      <x:c r="P27" s="22"/>
      <x:c r="Q27" s="22"/>
      <x:c r="R27" s="22" t="str">
        <x:v>Source-sensitive</x:v>
      </x:c>
    </x:row>
    <x:row r="28">
      <x:c r="A28" s="22" t="n">
        <x:v>24</x:v>
      </x:c>
      <x:c r="B28" s="22" t="str">
        <x:v>L-SAFETY</x:v>
      </x:c>
      <x:c r="C28" s="22" t="str">
        <x:v>Link/app vay Home Credit nào là chính thức?</x:v>
      </x:c>
      <x:c r="D28" s="22" t="str">
        <x:v>Cash Loan</x:v>
      </x:c>
      <x:c r="E28" s="22" t="str">
        <x:v>Trust</x:v>
      </x:c>
      <x:c r="F28" s="22" t="str">
        <x:v>Section/support</x:v>
      </x:c>
      <x:c r="G28" s="22" t="str">
        <x:v>No new URL by default</x:v>
      </x:c>
      <x:c r="H28" s="22" t="str">
        <x:v>L-PILLAR</x:v>
      </x:c>
      <x:c r="I28" s="22" t="str">
        <x:v>Medium</x:v>
      </x:c>
      <x:c r="J28" s="22" t="str">
        <x:v>S1/S11</x:v>
      </x:c>
      <x:c r="K28" s="22" t="str">
        <x:v>P1</x:v>
      </x:c>
      <x:c r="L28" s="22" t="str">
        <x:v>Ready</x:v>
      </x:c>
      <x:c r="M28" s="22" t="str">
        <x:v>Initial 60-day backlog / Day 24</x:v>
      </x:c>
      <x:c r="N28" s="22"/>
      <x:c r="O28" s="22"/>
      <x:c r="P28" s="22"/>
      <x:c r="Q28" s="22"/>
      <x:c r="R28" s="22" t="str">
        <x:v>Trust layer</x:v>
      </x:c>
    </x:row>
    <x:row r="29">
      <x:c r="A29" s="22" t="n">
        <x:v>25</x:v>
      </x:c>
      <x:c r="B29" s="22" t="str">
        <x:v>L-FAQ</x:v>
      </x:c>
      <x:c r="C29" s="22" t="str">
        <x:v>Mở rộng FAQ vay Home Credit từ query mới</x:v>
      </x:c>
      <x:c r="D29" s="22" t="str">
        <x:v>Cash Loan</x:v>
      </x:c>
      <x:c r="E29" s="22" t="str">
        <x:v>Question expansion</x:v>
      </x:c>
      <x:c r="F29" s="22" t="str">
        <x:v>Update existing</x:v>
      </x:c>
      <x:c r="G29" s="22" t="str">
        <x:v>No new URL</x:v>
      </x:c>
      <x:c r="H29" s="22" t="str">
        <x:v>L-PILLAR</x:v>
      </x:c>
      <x:c r="I29" s="22" t="str">
        <x:v>Medium</x:v>
      </x:c>
      <x:c r="J29" s="22" t="str">
        <x:v>Search Console + S1/S2</x:v>
      </x:c>
      <x:c r="K29" s="22" t="str">
        <x:v>P1</x:v>
      </x:c>
      <x:c r="L29" s="22" t="str">
        <x:v>Ready</x:v>
      </x:c>
      <x:c r="M29" s="22" t="str">
        <x:v>Initial 60-day backlog / Day 25</x:v>
      </x:c>
      <x:c r="N29" s="22"/>
      <x:c r="O29" s="22"/>
      <x:c r="P29" s="22"/>
      <x:c r="Q29" s="22"/>
      <x:c r="R29" s="22" t="str">
        <x:v>No thin pages</x:v>
      </x:c>
    </x:row>
    <x:row r="30">
      <x:c r="A30" s="22" t="n">
        <x:v>26</x:v>
      </x:c>
      <x:c r="B30" s="22" t="str">
        <x:v>C-LIMIT</x:v>
      </x:c>
      <x:c r="C30" s="22" t="str">
        <x:v>Hạn mức thẻ Home Credit bao nhiêu?</x:v>
      </x:c>
      <x:c r="D30" s="22" t="str">
        <x:v>Credit Card</x:v>
      </x:c>
      <x:c r="E30" s="22" t="str">
        <x:v>Limit</x:v>
      </x:c>
      <x:c r="F30" s="22" t="str">
        <x:v>Section</x:v>
      </x:c>
      <x:c r="G30" s="22" t="str">
        <x:v>No new URL</x:v>
      </x:c>
      <x:c r="H30" s="22" t="str">
        <x:v>C-PILLAR</x:v>
      </x:c>
      <x:c r="I30" s="22" t="str">
        <x:v>Medium</x:v>
      </x:c>
      <x:c r="J30" s="22" t="str">
        <x:v>S7</x:v>
      </x:c>
      <x:c r="K30" s="22" t="str">
        <x:v>P1</x:v>
      </x:c>
      <x:c r="L30" s="22" t="str">
        <x:v>Ready</x:v>
      </x:c>
      <x:c r="M30" s="22" t="str">
        <x:v>Initial 60-day backlog / Day 26</x:v>
      </x:c>
      <x:c r="N30" s="22"/>
      <x:c r="O30" s="22"/>
      <x:c r="P30" s="22"/>
      <x:c r="Q30" s="22"/>
      <x:c r="R30" s="22" t="str">
        <x:v>Dynamic</x:v>
      </x:c>
    </x:row>
    <x:row r="31">
      <x:c r="A31" s="22" t="n">
        <x:v>27</x:v>
      </x:c>
      <x:c r="B31" s="22" t="str">
        <x:v>C-INCOME</x:v>
      </x:c>
      <x:c r="C31" s="22" t="str">
        <x:v>Mở thẻ Home Credit có cần chứng minh thu nhập?</x:v>
      </x:c>
      <x:c r="D31" s="22" t="str">
        <x:v>Credit Card</x:v>
      </x:c>
      <x:c r="E31" s="22" t="str">
        <x:v>Eligibility</x:v>
      </x:c>
      <x:c r="F31" s="22" t="str">
        <x:v>FAQ</x:v>
      </x:c>
      <x:c r="G31" s="22" t="str">
        <x:v>No new URL</x:v>
      </x:c>
      <x:c r="H31" s="22" t="str">
        <x:v>C-NEED</x:v>
      </x:c>
      <x:c r="I31" s="22" t="str">
        <x:v>Medium</x:v>
      </x:c>
      <x:c r="J31" s="22" t="str">
        <x:v>S6</x:v>
      </x:c>
      <x:c r="K31" s="22" t="str">
        <x:v>P1</x:v>
      </x:c>
      <x:c r="L31" s="22" t="str">
        <x:v>Ready</x:v>
      </x:c>
      <x:c r="M31" s="22" t="str">
        <x:v>Initial 60-day backlog / Day 27</x:v>
      </x:c>
      <x:c r="N31" s="22"/>
      <x:c r="O31" s="22"/>
      <x:c r="P31" s="22"/>
      <x:c r="Q31" s="22"/>
      <x:c r="R31" s="22" t="str">
        <x:v>Current product claim</x:v>
      </x:c>
    </x:row>
    <x:row r="32">
      <x:c r="A32" s="22" t="n">
        <x:v>28</x:v>
      </x:c>
      <x:c r="B32" s="22" t="str">
        <x:v>C-DUE</x:v>
      </x:c>
      <x:c r="C32" s="22" t="str">
        <x:v>Thẻ Home Credit thanh toán ngày nào?</x:v>
      </x:c>
      <x:c r="D32" s="22" t="str">
        <x:v>Credit Card</x:v>
      </x:c>
      <x:c r="E32" s="22" t="str">
        <x:v>Billing</x:v>
      </x:c>
      <x:c r="F32" s="22" t="str">
        <x:v>Section/FAQ</x:v>
      </x:c>
      <x:c r="G32" s="22" t="str">
        <x:v>No new URL</x:v>
      </x:c>
      <x:c r="H32" s="22" t="str">
        <x:v>C-STATEMENT</x:v>
      </x:c>
      <x:c r="I32" s="22" t="str">
        <x:v>Low</x:v>
      </x:c>
      <x:c r="J32" s="22" t="str">
        <x:v>S7</x:v>
      </x:c>
      <x:c r="K32" s="22" t="str">
        <x:v>P1</x:v>
      </x:c>
      <x:c r="L32" s="22" t="str">
        <x:v>Ready</x:v>
      </x:c>
      <x:c r="M32" s="22" t="str">
        <x:v>Initial 60-day backlog / Day 28</x:v>
      </x:c>
      <x:c r="N32" s="22"/>
      <x:c r="O32" s="22"/>
      <x:c r="P32" s="22"/>
      <x:c r="Q32" s="22"/>
      <x:c r="R32" s="22" t="str">
        <x:v>Servicing</x:v>
      </x:c>
    </x:row>
    <x:row r="33">
      <x:c r="A33" s="22" t="n">
        <x:v>29</x:v>
      </x:c>
      <x:c r="B33" s="22" t="str">
        <x:v>C-MIN</x:v>
      </x:c>
      <x:c r="C33" s="22" t="str">
        <x:v>Thanh toán tối thiểu thẻ Home Credit là bao nhiêu?</x:v>
      </x:c>
      <x:c r="D33" s="22" t="str">
        <x:v>Credit Card</x:v>
      </x:c>
      <x:c r="E33" s="22" t="str">
        <x:v>Billing/cost</x:v>
      </x:c>
      <x:c r="F33" s="22" t="str">
        <x:v>Section/article review</x:v>
      </x:c>
      <x:c r="G33" s="22" t="str">
        <x:v>No new URL by default</x:v>
      </x:c>
      <x:c r="H33" s="22" t="str">
        <x:v>C-STATEMENT</x:v>
      </x:c>
      <x:c r="I33" s="22" t="str">
        <x:v>Low</x:v>
      </x:c>
      <x:c r="J33" s="22" t="str">
        <x:v>S7/S8</x:v>
      </x:c>
      <x:c r="K33" s="22" t="str">
        <x:v>P0</x:v>
      </x:c>
      <x:c r="L33" s="22" t="str">
        <x:v>Research</x:v>
      </x:c>
      <x:c r="M33" s="22" t="str">
        <x:v>Initial 60-day backlog / Day 29</x:v>
      </x:c>
      <x:c r="N33" s="22"/>
      <x:c r="O33" s="22"/>
      <x:c r="P33" s="22"/>
      <x:c r="Q33" s="22"/>
      <x:c r="R33" s="22" t="str">
        <x:v>High cost relevance</x:v>
      </x:c>
    </x:row>
    <x:row r="34">
      <x:c r="A34" s="22" t="n">
        <x:v>30</x:v>
      </x:c>
      <x:c r="B34" s="22" t="str">
        <x:v>C-STATEMENT2</x:v>
      </x:c>
      <x:c r="C34" s="22" t="str">
        <x:v>Cách xem sao kê và dư nợ thẻ Home Credit</x:v>
      </x:c>
      <x:c r="D34" s="22" t="str">
        <x:v>Credit Card</x:v>
      </x:c>
      <x:c r="E34" s="22" t="str">
        <x:v>Servicing</x:v>
      </x:c>
      <x:c r="F34" s="22" t="str">
        <x:v>Section/article review</x:v>
      </x:c>
      <x:c r="G34" s="22" t="str">
        <x:v>No new URL by default</x:v>
      </x:c>
      <x:c r="H34" s="22" t="str">
        <x:v>C-STATEMENT</x:v>
      </x:c>
      <x:c r="I34" s="22" t="str">
        <x:v>Low</x:v>
      </x:c>
      <x:c r="J34" s="22" t="str">
        <x:v>S7 + current blog</x:v>
      </x:c>
      <x:c r="K34" s="22" t="str">
        <x:v>P1</x:v>
      </x:c>
      <x:c r="L34" s="22" t="str">
        <x:v>Research</x:v>
      </x:c>
      <x:c r="M34" s="22" t="str">
        <x:v>Initial 60-day backlog / Day 30</x:v>
      </x:c>
      <x:c r="N34" s="22"/>
      <x:c r="O34" s="22"/>
      <x:c r="P34" s="22"/>
      <x:c r="Q34" s="22"/>
      <x:c r="R34" s="22" t="str">
        <x:v>App UI may change</x:v>
      </x:c>
    </x:row>
    <x:row r="35">
      <x:c r="A35" s="22" t="n">
        <x:v>31</x:v>
      </x:c>
      <x:c r="B35" s="22" t="str">
        <x:v>C-LIMIT-UP</x:v>
      </x:c>
      <x:c r="C35" s="22" t="str">
        <x:v>Có thể tăng hạn mức thẻ Home Credit không?</x:v>
      </x:c>
      <x:c r="D35" s="22" t="str">
        <x:v>Credit Card</x:v>
      </x:c>
      <x:c r="E35" s="22" t="str">
        <x:v>Limit management</x:v>
      </x:c>
      <x:c r="F35" s="22" t="str">
        <x:v>FAQ</x:v>
      </x:c>
      <x:c r="G35" s="22" t="str">
        <x:v>No new URL</x:v>
      </x:c>
      <x:c r="H35" s="22" t="str">
        <x:v>C-PILLAR</x:v>
      </x:c>
      <x:c r="I35" s="22" t="str">
        <x:v>Low</x:v>
      </x:c>
      <x:c r="J35" s="22" t="str">
        <x:v>S7</x:v>
      </x:c>
      <x:c r="K35" s="22" t="str">
        <x:v>P1</x:v>
      </x:c>
      <x:c r="L35" s="22" t="str">
        <x:v>Ready</x:v>
      </x:c>
      <x:c r="M35" s="22" t="str">
        <x:v>Initial 60-day backlog / Day 31</x:v>
      </x:c>
      <x:c r="N35" s="22"/>
      <x:c r="O35" s="22"/>
      <x:c r="P35" s="22"/>
      <x:c r="Q35" s="22"/>
      <x:c r="R35" s="22" t="str">
        <x:v>No guarantee</x:v>
      </x:c>
    </x:row>
    <x:row r="36">
      <x:c r="A36" s="22" t="n">
        <x:v>32</x:v>
      </x:c>
      <x:c r="B36" s="22" t="str">
        <x:v>C-LATE</x:v>
      </x:c>
      <x:c r="C36" s="22" t="str">
        <x:v>Thanh toán trễ thẻ Home Credit có sao không?</x:v>
      </x:c>
      <x:c r="D36" s="22" t="str">
        <x:v>Credit Card</x:v>
      </x:c>
      <x:c r="E36" s="22" t="str">
        <x:v>Late payment</x:v>
      </x:c>
      <x:c r="F36" s="22" t="str">
        <x:v>Section/support</x:v>
      </x:c>
      <x:c r="G36" s="22" t="str">
        <x:v>No new URL by default</x:v>
      </x:c>
      <x:c r="H36" s="22" t="str">
        <x:v>C-STATEMENT</x:v>
      </x:c>
      <x:c r="I36" s="22" t="str">
        <x:v>Low</x:v>
      </x:c>
      <x:c r="J36" s="22" t="str">
        <x:v>S7/S8</x:v>
      </x:c>
      <x:c r="K36" s="22" t="str">
        <x:v>P1</x:v>
      </x:c>
      <x:c r="L36" s="22" t="str">
        <x:v>Ready</x:v>
      </x:c>
      <x:c r="M36" s="22" t="str">
        <x:v>Initial 60-day backlog / Day 32</x:v>
      </x:c>
      <x:c r="N36" s="22"/>
      <x:c r="O36" s="22"/>
      <x:c r="P36" s="22"/>
      <x:c r="Q36" s="22"/>
      <x:c r="R36" s="22" t="str">
        <x:v>YMYL</x:v>
      </x:c>
    </x:row>
    <x:row r="37">
      <x:c r="A37" s="22" t="n">
        <x:v>33</x:v>
      </x:c>
      <x:c r="B37" s="22" t="str">
        <x:v>C-TYPES</x:v>
      </x:c>
      <x:c r="C37" s="22" t="str">
        <x:v>Thẻ tín dụng trực tuyến và thẻ Home Credit khác nhau?</x:v>
      </x:c>
      <x:c r="D37" s="22" t="str">
        <x:v>Credit Card</x:v>
      </x:c>
      <x:c r="E37" s="22" t="str">
        <x:v>Product clarification</x:v>
      </x:c>
      <x:c r="F37" s="22" t="str">
        <x:v>Section/article review</x:v>
      </x:c>
      <x:c r="G37" s="22" t="str">
        <x:v>Conditional URL</x:v>
      </x:c>
      <x:c r="H37" s="22" t="str">
        <x:v>C-PILLAR</x:v>
      </x:c>
      <x:c r="I37" s="22" t="str">
        <x:v>Low</x:v>
      </x:c>
      <x:c r="J37" s="22" t="str">
        <x:v>S8</x:v>
      </x:c>
      <x:c r="K37" s="22" t="str">
        <x:v>P1</x:v>
      </x:c>
      <x:c r="L37" s="22" t="str">
        <x:v>Research</x:v>
      </x:c>
      <x:c r="M37" s="22" t="str">
        <x:v>Initial 60-day backlog / Day 33</x:v>
      </x:c>
      <x:c r="N37" s="22"/>
      <x:c r="O37" s="22"/>
      <x:c r="P37" s="22"/>
      <x:c r="Q37" s="22"/>
      <x:c r="R37" s="22" t="str">
        <x:v>High volatility</x:v>
      </x:c>
    </x:row>
    <x:row r="38">
      <x:c r="A38" s="22" t="n">
        <x:v>34</x:v>
      </x:c>
      <x:c r="B38" s="22" t="str">
        <x:v>C-SAFETY</x:v>
      </x:c>
      <x:c r="C38" s="22" t="str">
        <x:v>Link mở thẻ Home Credit có an toàn không?</x:v>
      </x:c>
      <x:c r="D38" s="22" t="str">
        <x:v>Credit Card</x:v>
      </x:c>
      <x:c r="E38" s="22" t="str">
        <x:v>Trust</x:v>
      </x:c>
      <x:c r="F38" s="22" t="str">
        <x:v>Section/support</x:v>
      </x:c>
      <x:c r="G38" s="22" t="str">
        <x:v>No new URL by default</x:v>
      </x:c>
      <x:c r="H38" s="22" t="str">
        <x:v>C-PILLAR</x:v>
      </x:c>
      <x:c r="I38" s="22" t="str">
        <x:v>Medium</x:v>
      </x:c>
      <x:c r="J38" s="22" t="str">
        <x:v>S6/S11</x:v>
      </x:c>
      <x:c r="K38" s="22" t="str">
        <x:v>P1</x:v>
      </x:c>
      <x:c r="L38" s="22" t="str">
        <x:v>Ready</x:v>
      </x:c>
      <x:c r="M38" s="22" t="str">
        <x:v>Initial 60-day backlog / Day 34</x:v>
      </x:c>
      <x:c r="N38" s="22"/>
      <x:c r="O38" s="22"/>
      <x:c r="P38" s="22"/>
      <x:c r="Q38" s="22"/>
      <x:c r="R38" s="22" t="str">
        <x:v>Trust conversion</x:v>
      </x:c>
    </x:row>
    <x:row r="39">
      <x:c r="A39" s="22" t="n">
        <x:v>35</x:v>
      </x:c>
      <x:c r="B39" s="22" t="str">
        <x:v>C-FAQ</x:v>
      </x:c>
      <x:c r="C39" s="22" t="str">
        <x:v>Mở rộng FAQ thẻ Home Credit từ query mới</x:v>
      </x:c>
      <x:c r="D39" s="22" t="str">
        <x:v>Credit Card</x:v>
      </x:c>
      <x:c r="E39" s="22" t="str">
        <x:v>Question expansion</x:v>
      </x:c>
      <x:c r="F39" s="22" t="str">
        <x:v>Update existing</x:v>
      </x:c>
      <x:c r="G39" s="22" t="str">
        <x:v>No new URL</x:v>
      </x:c>
      <x:c r="H39" s="22" t="str">
        <x:v>C-PILLAR</x:v>
      </x:c>
      <x:c r="I39" s="22" t="str">
        <x:v>Medium</x:v>
      </x:c>
      <x:c r="J39" s="22" t="str">
        <x:v>Search Console + S7/S8</x:v>
      </x:c>
      <x:c r="K39" s="22" t="str">
        <x:v>P1</x:v>
      </x:c>
      <x:c r="L39" s="22" t="str">
        <x:v>Ready</x:v>
      </x:c>
      <x:c r="M39" s="22" t="str">
        <x:v>Initial 60-day backlog / Day 35</x:v>
      </x:c>
      <x:c r="N39" s="22"/>
      <x:c r="O39" s="22"/>
      <x:c r="P39" s="22"/>
      <x:c r="Q39" s="22"/>
      <x:c r="R39" s="22" t="str">
        <x:v>No thin pages</x:v>
      </x:c>
    </x:row>
    <x:row r="40">
      <x:c r="A40" s="22" t="n">
        <x:v>36</x:v>
      </x:c>
      <x:c r="B40" s="22" t="str">
        <x:v>L-SOURCE</x:v>
      </x:c>
      <x:c r="C40" s="22" t="str">
        <x:v>Rà nguồn và con số Pillar L</x:v>
      </x:c>
      <x:c r="D40" s="22" t="str">
        <x:v>Cash Loan</x:v>
      </x:c>
      <x:c r="E40" s="22" t="str">
        <x:v>Trust/freshness</x:v>
      </x:c>
      <x:c r="F40" s="22" t="str">
        <x:v>Update existing</x:v>
      </x:c>
      <x:c r="G40" s="22" t="str">
        <x:v>No new URL</x:v>
      </x:c>
      <x:c r="H40" s="22" t="str">
        <x:v>Pillar L</x:v>
      </x:c>
      <x:c r="I40" s="22" t="str">
        <x:v>High</x:v>
      </x:c>
      <x:c r="J40" s="22" t="str">
        <x:v>S1/S2/S3</x:v>
      </x:c>
      <x:c r="K40" s="22" t="str">
        <x:v>P0</x:v>
      </x:c>
      <x:c r="L40" s="22" t="str">
        <x:v>Ready</x:v>
      </x:c>
      <x:c r="M40" s="22" t="str">
        <x:v>Initial 60-day backlog / Day 36</x:v>
      </x:c>
      <x:c r="N40" s="22"/>
      <x:c r="O40" s="22"/>
      <x:c r="P40" s="22"/>
      <x:c r="Q40" s="22"/>
      <x:c r="R40" s="22" t="str">
        <x:v>No fake freshness</x:v>
      </x:c>
    </x:row>
    <x:row r="41">
      <x:c r="A41" s="22" t="n">
        <x:v>37</x:v>
      </x:c>
      <x:c r="B41" s="22" t="str">
        <x:v>C-SOURCE</x:v>
      </x:c>
      <x:c r="C41" s="22" t="str">
        <x:v>Rà biểu phí mới nhất Pillar C</x:v>
      </x:c>
      <x:c r="D41" s="22" t="str">
        <x:v>Credit Card</x:v>
      </x:c>
      <x:c r="E41" s="22" t="str">
        <x:v>Trust/freshness</x:v>
      </x:c>
      <x:c r="F41" s="22" t="str">
        <x:v>Update existing</x:v>
      </x:c>
      <x:c r="G41" s="22" t="str">
        <x:v>No new URL</x:v>
      </x:c>
      <x:c r="H41" s="22" t="str">
        <x:v>Pillar C</x:v>
      </x:c>
      <x:c r="I41" s="22" t="str">
        <x:v>High</x:v>
      </x:c>
      <x:c r="J41" s="22" t="str">
        <x:v>S8</x:v>
      </x:c>
      <x:c r="K41" s="22" t="str">
        <x:v>P0</x:v>
      </x:c>
      <x:c r="L41" s="22" t="str">
        <x:v>Ready</x:v>
      </x:c>
      <x:c r="M41" s="22" t="str">
        <x:v>Initial 60-day backlog / Day 37</x:v>
      </x:c>
      <x:c r="N41" s="22"/>
      <x:c r="O41" s="22"/>
      <x:c r="P41" s="22"/>
      <x:c r="Q41" s="22"/>
      <x:c r="R41" s="22" t="str">
        <x:v>Very high volatility</x:v>
      </x:c>
    </x:row>
    <x:row r="42">
      <x:c r="A42" s="22" t="n">
        <x:v>38</x:v>
      </x:c>
      <x:c r="B42" s="22" t="str">
        <x:v>LINK-L</x:v>
      </x:c>
      <x:c r="C42" s="22" t="str">
        <x:v>Tối ưu internal links loan cluster</x:v>
      </x:c>
      <x:c r="D42" s="22" t="str">
        <x:v>Cash Loan</x:v>
      </x:c>
      <x:c r="E42" s="22" t="str">
        <x:v>Internal linking</x:v>
      </x:c>
      <x:c r="F42" s="22" t="str">
        <x:v>Update existing</x:v>
      </x:c>
      <x:c r="G42" s="22" t="str">
        <x:v>No new URL</x:v>
      </x:c>
      <x:c r="H42" s="22" t="str">
        <x:v>Loan cluster</x:v>
      </x:c>
      <x:c r="I42" s="22" t="str">
        <x:v>Medium</x:v>
      </x:c>
      <x:c r="J42" s="22" t="str">
        <x:v>Current graph</x:v>
      </x:c>
      <x:c r="K42" s="22" t="str">
        <x:v>P1</x:v>
      </x:c>
      <x:c r="L42" s="22" t="str">
        <x:v>Ready</x:v>
      </x:c>
      <x:c r="M42" s="22" t="str">
        <x:v>Initial 60-day backlog / Day 38</x:v>
      </x:c>
      <x:c r="N42" s="22"/>
      <x:c r="O42" s="22"/>
      <x:c r="P42" s="22"/>
      <x:c r="Q42" s="22"/>
      <x:c r="R42" s="22" t="str">
        <x:v>No overlinking</x:v>
      </x:c>
    </x:row>
    <x:row r="43">
      <x:c r="A43" s="22" t="n">
        <x:v>39</x:v>
      </x:c>
      <x:c r="B43" s="22" t="str">
        <x:v>LINK-C</x:v>
      </x:c>
      <x:c r="C43" s="22" t="str">
        <x:v>Tối ưu internal links card cluster</x:v>
      </x:c>
      <x:c r="D43" s="22" t="str">
        <x:v>Credit Card</x:v>
      </x:c>
      <x:c r="E43" s="22" t="str">
        <x:v>Internal linking</x:v>
      </x:c>
      <x:c r="F43" s="22" t="str">
        <x:v>Update existing</x:v>
      </x:c>
      <x:c r="G43" s="22" t="str">
        <x:v>No new URL</x:v>
      </x:c>
      <x:c r="H43" s="22" t="str">
        <x:v>Card cluster</x:v>
      </x:c>
      <x:c r="I43" s="22" t="str">
        <x:v>Medium</x:v>
      </x:c>
      <x:c r="J43" s="22" t="str">
        <x:v>Current graph</x:v>
      </x:c>
      <x:c r="K43" s="22" t="str">
        <x:v>P1</x:v>
      </x:c>
      <x:c r="L43" s="22" t="str">
        <x:v>Ready</x:v>
      </x:c>
      <x:c r="M43" s="22" t="str">
        <x:v>Initial 60-day backlog / Day 39</x:v>
      </x:c>
      <x:c r="N43" s="22"/>
      <x:c r="O43" s="22"/>
      <x:c r="P43" s="22"/>
      <x:c r="Q43" s="22"/>
      <x:c r="R43" s="22" t="str">
        <x:v>No overlinking</x:v>
      </x:c>
    </x:row>
    <x:row r="44">
      <x:c r="A44" s="22" t="n">
        <x:v>40</x:v>
      </x:c>
      <x:c r="B44" s="22" t="str">
        <x:v>LINK-BRIDGE</x:v>
      </x:c>
      <x:c r="C44" s="22" t="str">
        <x:v>Tối ưu Loan ↔ Card bridge links</x:v>
      </x:c>
      <x:c r="D44" s="22" t="str">
        <x:v>Bridge</x:v>
      </x:c>
      <x:c r="E44" s="22" t="str">
        <x:v>Internal linking</x:v>
      </x:c>
      <x:c r="F44" s="22" t="str">
        <x:v>Update existing</x:v>
      </x:c>
      <x:c r="G44" s="22" t="str">
        <x:v>No new URL</x:v>
      </x:c>
      <x:c r="H44" s="22" t="str">
        <x:v>L/C/Bridge</x:v>
      </x:c>
      <x:c r="I44" s="22" t="str">
        <x:v>Medium</x:v>
      </x:c>
      <x:c r="J44" s="22" t="str">
        <x:v>Current graph</x:v>
      </x:c>
      <x:c r="K44" s="22" t="str">
        <x:v>P1</x:v>
      </x:c>
      <x:c r="L44" s="22" t="str">
        <x:v>Ready</x:v>
      </x:c>
      <x:c r="M44" s="22" t="str">
        <x:v>Initial 60-day backlog / Day 40</x:v>
      </x:c>
      <x:c r="N44" s="22"/>
      <x:c r="O44" s="22"/>
      <x:c r="P44" s="22"/>
      <x:c r="Q44" s="22"/>
      <x:c r="R44" s="22" t="str">
        <x:v>Entity clarity</x:v>
      </x:c>
    </x:row>
    <x:row r="45">
      <x:c r="A45" s="22" t="n">
        <x:v>41</x:v>
      </x:c>
      <x:c r="B45" s="22" t="str">
        <x:v>CTA-L</x:v>
      </x:c>
      <x:c r="C45" s="22" t="str">
        <x:v>Review affiliate CTA trên loan pages</x:v>
      </x:c>
      <x:c r="D45" s="22" t="str">
        <x:v>Cash Loan</x:v>
      </x:c>
      <x:c r="E45" s="22" t="str">
        <x:v>Conversion</x:v>
      </x:c>
      <x:c r="F45" s="22" t="str">
        <x:v>Update existing</x:v>
      </x:c>
      <x:c r="G45" s="22" t="str">
        <x:v>No new URL</x:v>
      </x:c>
      <x:c r="H45" s="22" t="str">
        <x:v>Loan cluster</x:v>
      </x:c>
      <x:c r="I45" s="22" t="str">
        <x:v>High</x:v>
      </x:c>
      <x:c r="J45" s="22" t="str">
        <x:v>CTA Matrix + analytics</x:v>
      </x:c>
      <x:c r="K45" s="22" t="str">
        <x:v>P0</x:v>
      </x:c>
      <x:c r="L45" s="22" t="str">
        <x:v>Ready</x:v>
      </x:c>
      <x:c r="M45" s="22" t="str">
        <x:v>Initial 60-day backlog / Day 41</x:v>
      </x:c>
      <x:c r="N45" s="22"/>
      <x:c r="O45" s="22"/>
      <x:c r="P45" s="22"/>
      <x:c r="Q45" s="22"/>
      <x:c r="R45" s="22" t="str">
        <x:v>No dark patterns</x:v>
      </x:c>
    </x:row>
    <x:row r="46">
      <x:c r="A46" s="22" t="n">
        <x:v>42</x:v>
      </x:c>
      <x:c r="B46" s="22" t="str">
        <x:v>CTA-C</x:v>
      </x:c>
      <x:c r="C46" s="22" t="str">
        <x:v>Review affiliate CTA trên card pages</x:v>
      </x:c>
      <x:c r="D46" s="22" t="str">
        <x:v>Credit Card</x:v>
      </x:c>
      <x:c r="E46" s="22" t="str">
        <x:v>Conversion</x:v>
      </x:c>
      <x:c r="F46" s="22" t="str">
        <x:v>Update existing</x:v>
      </x:c>
      <x:c r="G46" s="22" t="str">
        <x:v>No new URL</x:v>
      </x:c>
      <x:c r="H46" s="22" t="str">
        <x:v>Card cluster</x:v>
      </x:c>
      <x:c r="I46" s="22" t="str">
        <x:v>High</x:v>
      </x:c>
      <x:c r="J46" s="22" t="str">
        <x:v>CTA Matrix + analytics</x:v>
      </x:c>
      <x:c r="K46" s="22" t="str">
        <x:v>P0</x:v>
      </x:c>
      <x:c r="L46" s="22" t="str">
        <x:v>Ready</x:v>
      </x:c>
      <x:c r="M46" s="22" t="str">
        <x:v>Initial 60-day backlog / Day 42</x:v>
      </x:c>
      <x:c r="N46" s="22"/>
      <x:c r="O46" s="22"/>
      <x:c r="P46" s="22"/>
      <x:c r="Q46" s="22"/>
      <x:c r="R46" s="22" t="str">
        <x:v>No old promos</x:v>
      </x:c>
    </x:row>
    <x:row r="47">
      <x:c r="A47" s="22" t="n">
        <x:v>43</x:v>
      </x:c>
      <x:c r="B47" s="22" t="str">
        <x:v>TRACKING</x:v>
      </x:c>
      <x:c r="C47" s="22" t="str">
        <x:v>Rà event tracking Home Credit</x:v>
      </x:c>
      <x:c r="D47" s="22" t="str">
        <x:v>All</x:v>
      </x:c>
      <x:c r="E47" s="22" t="str">
        <x:v>Measurement</x:v>
      </x:c>
      <x:c r="F47" s="22" t="str">
        <x:v>Update implementation</x:v>
      </x:c>
      <x:c r="G47" s="22" t="str">
        <x:v>No new URL</x:v>
      </x:c>
      <x:c r="H47" s="22" t="str">
        <x:v>All</x:v>
      </x:c>
      <x:c r="I47" s="22" t="str">
        <x:v>N/A</x:v>
      </x:c>
      <x:c r="J47" s="22" t="str">
        <x:v>Existing analytics</x:v>
      </x:c>
      <x:c r="K47" s="22" t="str">
        <x:v>P1</x:v>
      </x:c>
      <x:c r="L47" s="22" t="str">
        <x:v>Ready</x:v>
      </x:c>
      <x:c r="M47" s="22" t="str">
        <x:v>Initial 60-day backlog / Day 43</x:v>
      </x:c>
      <x:c r="N47" s="22"/>
      <x:c r="O47" s="22"/>
      <x:c r="P47" s="22"/>
      <x:c r="Q47" s="22"/>
      <x:c r="R47" s="22" t="str">
        <x:v>Reuse current analytics</x:v>
      </x:c>
    </x:row>
    <x:row r="48">
      <x:c r="A48" s="22" t="n">
        <x:v>44</x:v>
      </x:c>
      <x:c r="B48" s="22" t="str">
        <x:v>SCHEMA</x:v>
      </x:c>
      <x:c r="C48" s="22" t="str">
        <x:v>Rà metadata/schema Home Credit cluster</x:v>
      </x:c>
      <x:c r="D48" s="22" t="str">
        <x:v>All</x:v>
      </x:c>
      <x:c r="E48" s="22" t="str">
        <x:v>Technical SEO</x:v>
      </x:c>
      <x:c r="F48" s="22" t="str">
        <x:v>Update existing</x:v>
      </x:c>
      <x:c r="G48" s="22" t="str">
        <x:v>No new URL</x:v>
      </x:c>
      <x:c r="H48" s="22" t="str">
        <x:v>All</x:v>
      </x:c>
      <x:c r="I48" s="22" t="str">
        <x:v>N/A</x:v>
      </x:c>
      <x:c r="J48" s="22" t="str">
        <x:v>Existing project patterns</x:v>
      </x:c>
      <x:c r="K48" s="22" t="str">
        <x:v>P1</x:v>
      </x:c>
      <x:c r="L48" s="22" t="str">
        <x:v>Ready</x:v>
      </x:c>
      <x:c r="M48" s="22" t="str">
        <x:v>Initial 60-day backlog / Day 44</x:v>
      </x:c>
      <x:c r="N48" s="22"/>
      <x:c r="O48" s="22"/>
      <x:c r="P48" s="22"/>
      <x:c r="Q48" s="22"/>
      <x:c r="R48" s="22" t="str">
        <x:v>No invented schema</x:v>
      </x:c>
    </x:row>
    <x:row r="49">
      <x:c r="A49" s="22" t="n">
        <x:v>45</x:v>
      </x:c>
      <x:c r="B49" s="22" t="str">
        <x:v>MOBILE</x:v>
      </x:c>
      <x:c r="C49" s="22" t="str">
        <x:v>Rà mobile UI các bảng phí/lãi</x:v>
      </x:c>
      <x:c r="D49" s="22" t="str">
        <x:v>All</x:v>
      </x:c>
      <x:c r="E49" s="22" t="str">
        <x:v>UX</x:v>
      </x:c>
      <x:c r="F49" s="22" t="str">
        <x:v>Update existing</x:v>
      </x:c>
      <x:c r="G49" s="22" t="str">
        <x:v>No new URL</x:v>
      </x:c>
      <x:c r="H49" s="22" t="str">
        <x:v>All</x:v>
      </x:c>
      <x:c r="I49" s="22" t="str">
        <x:v>N/A</x:v>
      </x:c>
      <x:c r="J49" s="22" t="str">
        <x:v>Current UI</x:v>
      </x:c>
      <x:c r="K49" s="22" t="str">
        <x:v>P1</x:v>
      </x:c>
      <x:c r="L49" s="22" t="str">
        <x:v>Ready</x:v>
      </x:c>
      <x:c r="M49" s="22" t="str">
        <x:v>Initial 60-day backlog / Day 45</x:v>
      </x:c>
      <x:c r="N49" s="22"/>
      <x:c r="O49" s="22"/>
      <x:c r="P49" s="22"/>
      <x:c r="Q49" s="22"/>
      <x:c r="R49" s="22" t="str">
        <x:v>Preserve UI</x:v>
      </x:c>
    </x:row>
    <x:row r="50">
      <x:c r="A50" s="22" t="n">
        <x:v>46</x:v>
      </x:c>
      <x:c r="B50" s="22" t="str">
        <x:v>QUERY-L</x:v>
      </x:c>
      <x:c r="C50" s="22" t="str">
        <x:v>Phân tích query loan mới</x:v>
      </x:c>
      <x:c r="D50" s="22" t="str">
        <x:v>Cash Loan</x:v>
      </x:c>
      <x:c r="E50" s="22" t="str">
        <x:v>Measurement</x:v>
      </x:c>
      <x:c r="F50" s="22" t="str">
        <x:v>Research/update</x:v>
      </x:c>
      <x:c r="G50" s="22" t="str">
        <x:v>No new URL</x:v>
      </x:c>
      <x:c r="H50" s="22" t="str">
        <x:v>Loan cluster</x:v>
      </x:c>
      <x:c r="I50" s="22" t="str">
        <x:v>N/A</x:v>
      </x:c>
      <x:c r="J50" s="22" t="str">
        <x:v>Search Console</x:v>
      </x:c>
      <x:c r="K50" s="22" t="str">
        <x:v>P1</x:v>
      </x:c>
      <x:c r="L50" s="22" t="str">
        <x:v>Research</x:v>
      </x:c>
      <x:c r="M50" s="22" t="str">
        <x:v>Initial 60-day backlog / Day 46</x:v>
      </x:c>
      <x:c r="N50" s="22"/>
      <x:c r="O50" s="22"/>
      <x:c r="P50" s="22"/>
      <x:c r="Q50" s="22"/>
      <x:c r="R50" s="22" t="str">
        <x:v>Evidence-based expansion</x:v>
      </x:c>
    </x:row>
    <x:row r="51">
      <x:c r="A51" s="22" t="n">
        <x:v>47</x:v>
      </x:c>
      <x:c r="B51" s="22" t="str">
        <x:v>QUERY-C</x:v>
      </x:c>
      <x:c r="C51" s="22" t="str">
        <x:v>Phân tích query card mới</x:v>
      </x:c>
      <x:c r="D51" s="22" t="str">
        <x:v>Credit Card</x:v>
      </x:c>
      <x:c r="E51" s="22" t="str">
        <x:v>Measurement</x:v>
      </x:c>
      <x:c r="F51" s="22" t="str">
        <x:v>Research/update</x:v>
      </x:c>
      <x:c r="G51" s="22" t="str">
        <x:v>No new URL</x:v>
      </x:c>
      <x:c r="H51" s="22" t="str">
        <x:v>Card cluster</x:v>
      </x:c>
      <x:c r="I51" s="22" t="str">
        <x:v>N/A</x:v>
      </x:c>
      <x:c r="J51" s="22" t="str">
        <x:v>Search Console</x:v>
      </x:c>
      <x:c r="K51" s="22" t="str">
        <x:v>P1</x:v>
      </x:c>
      <x:c r="L51" s="22" t="str">
        <x:v>Research</x:v>
      </x:c>
      <x:c r="M51" s="22" t="str">
        <x:v>Initial 60-day backlog / Day 47</x:v>
      </x:c>
      <x:c r="N51" s="22"/>
      <x:c r="O51" s="22"/>
      <x:c r="P51" s="22"/>
      <x:c r="Q51" s="22"/>
      <x:c r="R51" s="22" t="str">
        <x:v>Evidence-based expansion</x:v>
      </x:c>
    </x:row>
    <x:row r="52">
      <x:c r="A52" s="22" t="n">
        <x:v>48</x:v>
      </x:c>
      <x:c r="B52" s="22" t="str">
        <x:v>MERGE-L</x:v>
      </x:c>
      <x:c r="C52" s="22" t="str">
        <x:v>Đánh giá bài loan support có overlap</x:v>
      </x:c>
      <x:c r="D52" s="22" t="str">
        <x:v>Cash Loan</x:v>
      </x:c>
      <x:c r="E52" s="22" t="str">
        <x:v>Quality</x:v>
      </x:c>
      <x:c r="F52" s="22" t="str">
        <x:v>Editorial review</x:v>
      </x:c>
      <x:c r="G52" s="22" t="str">
        <x:v>No new URL</x:v>
      </x:c>
      <x:c r="H52" s="22" t="str">
        <x:v>Loan cluster</x:v>
      </x:c>
      <x:c r="I52" s="22" t="str">
        <x:v>N/A</x:v>
      </x:c>
      <x:c r="J52" s="22" t="str">
        <x:v>SERP/query data</x:v>
      </x:c>
      <x:c r="K52" s="22" t="str">
        <x:v>P1</x:v>
      </x:c>
      <x:c r="L52" s="22" t="str">
        <x:v>Research</x:v>
      </x:c>
      <x:c r="M52" s="22" t="str">
        <x:v>Initial 60-day backlog / Day 48</x:v>
      </x:c>
      <x:c r="N52" s="22"/>
      <x:c r="O52" s="22"/>
      <x:c r="P52" s="22"/>
      <x:c r="Q52" s="22"/>
      <x:c r="R52" s="22" t="str">
        <x:v>Avoid content sprawl</x:v>
      </x:c>
    </x:row>
    <x:row r="53">
      <x:c r="A53" s="22" t="n">
        <x:v>49</x:v>
      </x:c>
      <x:c r="B53" s="22" t="str">
        <x:v>MERGE-C</x:v>
      </x:c>
      <x:c r="C53" s="22" t="str">
        <x:v>Đánh giá bài card support có overlap</x:v>
      </x:c>
      <x:c r="D53" s="22" t="str">
        <x:v>Credit Card</x:v>
      </x:c>
      <x:c r="E53" s="22" t="str">
        <x:v>Quality</x:v>
      </x:c>
      <x:c r="F53" s="22" t="str">
        <x:v>Editorial review</x:v>
      </x:c>
      <x:c r="G53" s="22" t="str">
        <x:v>No new URL</x:v>
      </x:c>
      <x:c r="H53" s="22" t="str">
        <x:v>Card cluster</x:v>
      </x:c>
      <x:c r="I53" s="22" t="str">
        <x:v>N/A</x:v>
      </x:c>
      <x:c r="J53" s="22" t="str">
        <x:v>SERP/query data</x:v>
      </x:c>
      <x:c r="K53" s="22" t="str">
        <x:v>P1</x:v>
      </x:c>
      <x:c r="L53" s="22" t="str">
        <x:v>Research</x:v>
      </x:c>
      <x:c r="M53" s="22" t="str">
        <x:v>Initial 60-day backlog / Day 49</x:v>
      </x:c>
      <x:c r="N53" s="22"/>
      <x:c r="O53" s="22"/>
      <x:c r="P53" s="22"/>
      <x:c r="Q53" s="22"/>
      <x:c r="R53" s="22" t="str">
        <x:v>Avoid content sprawl</x:v>
      </x:c>
    </x:row>
    <x:row r="54">
      <x:c r="A54" s="22" t="n">
        <x:v>50</x:v>
      </x:c>
      <x:c r="B54" s="22" t="str">
        <x:v>CTR-L</x:v>
      </x:c>
      <x:c r="C54" s="22" t="str">
        <x:v>Review title/meta loan cluster</x:v>
      </x:c>
      <x:c r="D54" s="22" t="str">
        <x:v>Cash Loan</x:v>
      </x:c>
      <x:c r="E54" s="22" t="str">
        <x:v>CTR</x:v>
      </x:c>
      <x:c r="F54" s="22" t="str">
        <x:v>Conditional update</x:v>
      </x:c>
      <x:c r="G54" s="22" t="str">
        <x:v>No new URL</x:v>
      </x:c>
      <x:c r="H54" s="22" t="str">
        <x:v>Loan cluster</x:v>
      </x:c>
      <x:c r="I54" s="22" t="str">
        <x:v>N/A</x:v>
      </x:c>
      <x:c r="J54" s="22" t="str">
        <x:v>Search Console</x:v>
      </x:c>
      <x:c r="K54" s="22" t="str">
        <x:v>P1</x:v>
      </x:c>
      <x:c r="L54" s="22" t="str">
        <x:v>Research</x:v>
      </x:c>
      <x:c r="M54" s="22" t="str">
        <x:v>Initial 60-day backlog / Day 50</x:v>
      </x:c>
      <x:c r="N54" s="22"/>
      <x:c r="O54" s="22"/>
      <x:c r="P54" s="22"/>
      <x:c r="Q54" s="22"/>
      <x:c r="R54" s="22" t="str">
        <x:v>No clickbait</x:v>
      </x:c>
    </x:row>
    <x:row r="55">
      <x:c r="A55" s="22" t="n">
        <x:v>51</x:v>
      </x:c>
      <x:c r="B55" s="22" t="str">
        <x:v>CTR-C</x:v>
      </x:c>
      <x:c r="C55" s="22" t="str">
        <x:v>Review title/meta card cluster</x:v>
      </x:c>
      <x:c r="D55" s="22" t="str">
        <x:v>Credit Card</x:v>
      </x:c>
      <x:c r="E55" s="22" t="str">
        <x:v>CTR</x:v>
      </x:c>
      <x:c r="F55" s="22" t="str">
        <x:v>Conditional update</x:v>
      </x:c>
      <x:c r="G55" s="22" t="str">
        <x:v>No new URL</x:v>
      </x:c>
      <x:c r="H55" s="22" t="str">
        <x:v>Card cluster</x:v>
      </x:c>
      <x:c r="I55" s="22" t="str">
        <x:v>N/A</x:v>
      </x:c>
      <x:c r="J55" s="22" t="str">
        <x:v>Search Console</x:v>
      </x:c>
      <x:c r="K55" s="22" t="str">
        <x:v>P1</x:v>
      </x:c>
      <x:c r="L55" s="22" t="str">
        <x:v>Research</x:v>
      </x:c>
      <x:c r="M55" s="22" t="str">
        <x:v>Initial 60-day backlog / Day 51</x:v>
      </x:c>
      <x:c r="N55" s="22"/>
      <x:c r="O55" s="22"/>
      <x:c r="P55" s="22"/>
      <x:c r="Q55" s="22"/>
      <x:c r="R55" s="22" t="str">
        <x:v>No promo bait</x:v>
      </x:c>
    </x:row>
    <x:row r="56">
      <x:c r="A56" s="22" t="n">
        <x:v>52</x:v>
      </x:c>
      <x:c r="B56" s="22" t="str">
        <x:v>TRUST-L</x:v>
      </x:c>
      <x:c r="C56" s="22" t="str">
        <x:v>Rà disclosure loan affiliate</x:v>
      </x:c>
      <x:c r="D56" s="22" t="str">
        <x:v>Cash Loan</x:v>
      </x:c>
      <x:c r="E56" s="22" t="str">
        <x:v>Trust</x:v>
      </x:c>
      <x:c r="F56" s="22" t="str">
        <x:v>Update existing</x:v>
      </x:c>
      <x:c r="G56" s="22" t="str">
        <x:v>No new URL</x:v>
      </x:c>
      <x:c r="H56" s="22" t="str">
        <x:v>Loan cluster</x:v>
      </x:c>
      <x:c r="I56" s="22" t="str">
        <x:v>Medium</x:v>
      </x:c>
      <x:c r="J56" s="22" t="str">
        <x:v>S11</x:v>
      </x:c>
      <x:c r="K56" s="22" t="str">
        <x:v>P0</x:v>
      </x:c>
      <x:c r="L56" s="22" t="str">
        <x:v>Ready</x:v>
      </x:c>
      <x:c r="M56" s="22" t="str">
        <x:v>Initial 60-day backlog / Day 52</x:v>
      </x:c>
      <x:c r="N56" s="22"/>
      <x:c r="O56" s="22"/>
      <x:c r="P56" s="22"/>
      <x:c r="Q56" s="22"/>
      <x:c r="R56" s="22" t="str">
        <x:v>Independent site clarity</x:v>
      </x:c>
    </x:row>
    <x:row r="57">
      <x:c r="A57" s="22" t="n">
        <x:v>53</x:v>
      </x:c>
      <x:c r="B57" s="22" t="str">
        <x:v>TRUST-C</x:v>
      </x:c>
      <x:c r="C57" s="22" t="str">
        <x:v>Rà disclosure card affiliate</x:v>
      </x:c>
      <x:c r="D57" s="22" t="str">
        <x:v>Credit Card</x:v>
      </x:c>
      <x:c r="E57" s="22" t="str">
        <x:v>Trust</x:v>
      </x:c>
      <x:c r="F57" s="22" t="str">
        <x:v>Update existing</x:v>
      </x:c>
      <x:c r="G57" s="22" t="str">
        <x:v>No new URL</x:v>
      </x:c>
      <x:c r="H57" s="22" t="str">
        <x:v>Card cluster</x:v>
      </x:c>
      <x:c r="I57" s="22" t="str">
        <x:v>Medium</x:v>
      </x:c>
      <x:c r="J57" s="22" t="str">
        <x:v>S11</x:v>
      </x:c>
      <x:c r="K57" s="22" t="str">
        <x:v>P0</x:v>
      </x:c>
      <x:c r="L57" s="22" t="str">
        <x:v>Ready</x:v>
      </x:c>
      <x:c r="M57" s="22" t="str">
        <x:v>Initial 60-day backlog / Day 53</x:v>
      </x:c>
      <x:c r="N57" s="22"/>
      <x:c r="O57" s="22"/>
      <x:c r="P57" s="22"/>
      <x:c r="Q57" s="22"/>
      <x:c r="R57" s="22" t="str">
        <x:v>Independent site clarity</x:v>
      </x:c>
    </x:row>
    <x:row r="58">
      <x:c r="A58" s="22" t="n">
        <x:v>54</x:v>
      </x:c>
      <x:c r="B58" s="22" t="str">
        <x:v>SUPPORT</x:v>
      </x:c>
      <x:c r="C58" s="22" t="str">
        <x:v>Rà hotline/support links Home Credit</x:v>
      </x:c>
      <x:c r="D58" s="22" t="str">
        <x:v>All</x:v>
      </x:c>
      <x:c r="E58" s="22" t="str">
        <x:v>Trust/support</x:v>
      </x:c>
      <x:c r="F58" s="22" t="str">
        <x:v>Update existing</x:v>
      </x:c>
      <x:c r="G58" s="22" t="str">
        <x:v>No new URL</x:v>
      </x:c>
      <x:c r="H58" s="22" t="str">
        <x:v>All</x:v>
      </x:c>
      <x:c r="I58" s="22" t="str">
        <x:v>Low</x:v>
      </x:c>
      <x:c r="J58" s="22" t="str">
        <x:v>Home Credit current site</x:v>
      </x:c>
      <x:c r="K58" s="22" t="str">
        <x:v>P1</x:v>
      </x:c>
      <x:c r="L58" s="22" t="str">
        <x:v>Ready</x:v>
      </x:c>
      <x:c r="M58" s="22" t="str">
        <x:v>Initial 60-day backlog / Day 54</x:v>
      </x:c>
      <x:c r="N58" s="22"/>
      <x:c r="O58" s="22"/>
      <x:c r="P58" s="22"/>
      <x:c r="Q58" s="22"/>
      <x:c r="R58" s="22" t="str">
        <x:v>No sensitive data collection</x:v>
      </x:c>
    </x:row>
    <x:row r="59">
      <x:c r="A59" s="22" t="n">
        <x:v>55</x:v>
      </x:c>
      <x:c r="B59" s="22" t="str">
        <x:v>CRAWL</x:v>
      </x:c>
      <x:c r="C59" s="22" t="str">
        <x:v>Rà canonical/index/sitemap</x:v>
      </x:c>
      <x:c r="D59" s="22" t="str">
        <x:v>All</x:v>
      </x:c>
      <x:c r="E59" s="22" t="str">
        <x:v>Technical SEO</x:v>
      </x:c>
      <x:c r="F59" s="22" t="str">
        <x:v>Update implementation</x:v>
      </x:c>
      <x:c r="G59" s="22" t="str">
        <x:v>No new URL</x:v>
      </x:c>
      <x:c r="H59" s="22" t="str">
        <x:v>All</x:v>
      </x:c>
      <x:c r="I59" s="22" t="str">
        <x:v>N/A</x:v>
      </x:c>
      <x:c r="J59" s="22" t="str">
        <x:v>Project config</x:v>
      </x:c>
      <x:c r="K59" s="22" t="str">
        <x:v>P1</x:v>
      </x:c>
      <x:c r="L59" s="22" t="str">
        <x:v>Ready</x:v>
      </x:c>
      <x:c r="M59" s="22" t="str">
        <x:v>Initial 60-day backlog / Day 55</x:v>
      </x:c>
      <x:c r="N59" s="22"/>
      <x:c r="O59" s="22"/>
      <x:c r="P59" s="22"/>
      <x:c r="Q59" s="22"/>
      <x:c r="R59" s="22" t="str">
        <x:v>Preserve current routes</x:v>
      </x:c>
    </x:row>
    <x:row r="60">
      <x:c r="A60" s="22" t="n">
        <x:v>56</x:v>
      </x:c>
      <x:c r="B60" s="22" t="str">
        <x:v>FINAL-L</x:v>
      </x:c>
      <x:c r="C60" s="22" t="str">
        <x:v>Final content QA loan cluster</x:v>
      </x:c>
      <x:c r="D60" s="22" t="str">
        <x:v>Cash Loan</x:v>
      </x:c>
      <x:c r="E60" s="22" t="str">
        <x:v>QA</x:v>
      </x:c>
      <x:c r="F60" s="22" t="str">
        <x:v>Update existing</x:v>
      </x:c>
      <x:c r="G60" s="22" t="str">
        <x:v>No new URL</x:v>
      </x:c>
      <x:c r="H60" s="22" t="str">
        <x:v>Loan cluster</x:v>
      </x:c>
      <x:c r="I60" s="22" t="str">
        <x:v>N/A</x:v>
      </x:c>
      <x:c r="J60" s="22" t="str">
        <x:v>All current sources</x:v>
      </x:c>
      <x:c r="K60" s="22" t="str">
        <x:v>P0</x:v>
      </x:c>
      <x:c r="L60" s="22" t="str">
        <x:v>Ready</x:v>
      </x:c>
      <x:c r="M60" s="22" t="str">
        <x:v>Initial 60-day backlog / Day 56</x:v>
      </x:c>
      <x:c r="N60" s="22"/>
      <x:c r="O60" s="22"/>
      <x:c r="P60" s="22"/>
      <x:c r="Q60" s="22"/>
      <x:c r="R60" s="22" t="str">
        <x:v>YMYL</x:v>
      </x:c>
    </x:row>
    <x:row r="61">
      <x:c r="A61" s="22" t="n">
        <x:v>57</x:v>
      </x:c>
      <x:c r="B61" s="22" t="str">
        <x:v>FINAL-C</x:v>
      </x:c>
      <x:c r="C61" s="22" t="str">
        <x:v>Final content QA card cluster</x:v>
      </x:c>
      <x:c r="D61" s="22" t="str">
        <x:v>Credit Card</x:v>
      </x:c>
      <x:c r="E61" s="22" t="str">
        <x:v>QA</x:v>
      </x:c>
      <x:c r="F61" s="22" t="str">
        <x:v>Update existing</x:v>
      </x:c>
      <x:c r="G61" s="22" t="str">
        <x:v>No new URL</x:v>
      </x:c>
      <x:c r="H61" s="22" t="str">
        <x:v>Card cluster</x:v>
      </x:c>
      <x:c r="I61" s="22" t="str">
        <x:v>N/A</x:v>
      </x:c>
      <x:c r="J61" s="22" t="str">
        <x:v>Latest tariff + FAQ</x:v>
      </x:c>
      <x:c r="K61" s="22" t="str">
        <x:v>P0</x:v>
      </x:c>
      <x:c r="L61" s="22" t="str">
        <x:v>Ready</x:v>
      </x:c>
      <x:c r="M61" s="22" t="str">
        <x:v>Initial 60-day backlog / Day 57</x:v>
      </x:c>
      <x:c r="N61" s="22"/>
      <x:c r="O61" s="22"/>
      <x:c r="P61" s="22"/>
      <x:c r="Q61" s="22"/>
      <x:c r="R61" s="22" t="str">
        <x:v>YMYL</x:v>
      </x:c>
    </x:row>
    <x:row r="62">
      <x:c r="A62" s="22" t="n">
        <x:v>58</x:v>
      </x:c>
      <x:c r="B62" s="22" t="str">
        <x:v>FINAL-CTA</x:v>
      </x:c>
      <x:c r="C62" s="22" t="str">
        <x:v>Final affiliate funnel QA</x:v>
      </x:c>
      <x:c r="D62" s="22" t="str">
        <x:v>All</x:v>
      </x:c>
      <x:c r="E62" s="22" t="str">
        <x:v>Conversion</x:v>
      </x:c>
      <x:c r="F62" s="22" t="str">
        <x:v>Update existing</x:v>
      </x:c>
      <x:c r="G62" s="22" t="str">
        <x:v>No new URL</x:v>
      </x:c>
      <x:c r="H62" s="22" t="str">
        <x:v>All</x:v>
      </x:c>
      <x:c r="I62" s="22" t="str">
        <x:v>N/A</x:v>
      </x:c>
      <x:c r="J62" s="22" t="str">
        <x:v>Analytics + CTA Matrix</x:v>
      </x:c>
      <x:c r="K62" s="22" t="str">
        <x:v>P0</x:v>
      </x:c>
      <x:c r="L62" s="22" t="str">
        <x:v>Ready</x:v>
      </x:c>
      <x:c r="M62" s="22" t="str">
        <x:v>Initial 60-day backlog / Day 58</x:v>
      </x:c>
      <x:c r="N62" s="22"/>
      <x:c r="O62" s="22"/>
      <x:c r="P62" s="22"/>
      <x:c r="Q62" s="22"/>
      <x:c r="R62" s="22" t="str">
        <x:v>Business QA</x:v>
      </x:c>
    </x:row>
    <x:row r="63">
      <x:c r="A63" s="22" t="n">
        <x:v>59</x:v>
      </x:c>
      <x:c r="B63" s="22" t="str">
        <x:v>FINAL-DATA</x:v>
      </x:c>
      <x:c r="C63" s="22" t="str">
        <x:v>Baseline vs 60-day comparison</x:v>
      </x:c>
      <x:c r="D63" s="22" t="str">
        <x:v>All</x:v>
      </x:c>
      <x:c r="E63" s="22" t="str">
        <x:v>Measurement</x:v>
      </x:c>
      <x:c r="F63" s="22" t="str">
        <x:v>Report</x:v>
      </x:c>
      <x:c r="G63" s="22" t="str">
        <x:v>No new URL</x:v>
      </x:c>
      <x:c r="H63" s="22" t="str">
        <x:v>All</x:v>
      </x:c>
      <x:c r="I63" s="22" t="str">
        <x:v>N/A</x:v>
      </x:c>
      <x:c r="J63" s="22" t="str">
        <x:v>Search Console + analytics</x:v>
      </x:c>
      <x:c r="K63" s="22" t="str">
        <x:v>P0</x:v>
      </x:c>
      <x:c r="L63" s="22" t="str">
        <x:v>Ready</x:v>
      </x:c>
      <x:c r="M63" s="22" t="str">
        <x:v>Initial 60-day backlog / Day 59</x:v>
      </x:c>
      <x:c r="N63" s="22"/>
      <x:c r="O63" s="22"/>
      <x:c r="P63" s="22"/>
      <x:c r="Q63" s="22"/>
      <x:c r="R63" s="22" t="str">
        <x:v>Cluster-level</x:v>
      </x:c>
    </x:row>
    <x:row r="64">
      <x:c r="A64" s="22" t="n">
        <x:v>60</x:v>
      </x:c>
      <x:c r="B64" s="22" t="str">
        <x:v>NEXT-CYCLE</x:v>
      </x:c>
      <x:c r="C64" s="22" t="str">
        <x:v>Chọn content Home Credit cho chu kỳ tiếp theo</x:v>
      </x:c>
      <x:c r="D64" s="22" t="str">
        <x:v>All</x:v>
      </x:c>
      <x:c r="E64" s="22" t="str">
        <x:v>Strategy</x:v>
      </x:c>
      <x:c r="F64" s="22" t="str">
        <x:v>Research</x:v>
      </x:c>
      <x:c r="G64" s="22" t="str">
        <x:v>No new URL</x:v>
      </x:c>
      <x:c r="H64" s="22" t="str">
        <x:v>All</x:v>
      </x:c>
      <x:c r="I64" s="22" t="str">
        <x:v>N/A</x:v>
      </x:c>
      <x:c r="J64" s="22" t="str">
        <x:v>Real query + conversion data</x:v>
      </x:c>
      <x:c r="K64" s="22" t="str">
        <x:v>P0</x:v>
      </x:c>
      <x:c r="L64" s="22" t="str">
        <x:v>Research</x:v>
      </x:c>
      <x:c r="M64" s="22" t="str">
        <x:v>Initial 60-day backlog / Day 60</x:v>
      </x:c>
      <x:c r="N64" s="22"/>
      <x:c r="O64" s="22"/>
      <x:c r="P64" s="22"/>
      <x:c r="Q64" s="22"/>
      <x:c r="R64" s="22" t="str">
        <x:v>No 1-keyword=1-page</x:v>
      </x:c>
    </x:row>
    <x:row r="65">
      <x:c r="A65" s="22" t="n">
        <x:v>61</x:v>
      </x:c>
      <x:c r="B65" s="22"/>
      <x:c r="C65" s="22"/>
      <x:c r="D65" s="22"/>
      <x:c r="E65" s="22"/>
      <x:c r="F65" s="22"/>
      <x:c r="G65" s="22"/>
      <x:c r="H65" s="22"/>
      <x:c r="I65" s="22"/>
      <x:c r="J65" s="22"/>
      <x:c r="K65" s="22"/>
      <x:c r="L65" s="22"/>
      <x:c r="M65" s="22" t="str">
        <x:v>Discovery append</x:v>
      </x:c>
      <x:c r="N65" s="22"/>
      <x:c r="O65" s="22"/>
      <x:c r="P65" s="22"/>
      <x:c r="Q65" s="22"/>
      <x:c r="R65" s="22"/>
    </x:row>
    <x:row r="66">
      <x:c r="A66" s="22" t="n">
        <x:v>62</x:v>
      </x:c>
      <x:c r="B66" s="22"/>
      <x:c r="C66" s="22"/>
      <x:c r="D66" s="22"/>
      <x:c r="E66" s="22"/>
      <x:c r="F66" s="22"/>
      <x:c r="G66" s="22"/>
      <x:c r="H66" s="22"/>
      <x:c r="I66" s="22"/>
      <x:c r="J66" s="22"/>
      <x:c r="K66" s="22"/>
      <x:c r="L66" s="22"/>
      <x:c r="M66" s="22" t="str">
        <x:v>Discovery append</x:v>
      </x:c>
      <x:c r="N66" s="22"/>
      <x:c r="O66" s="22"/>
      <x:c r="P66" s="22"/>
      <x:c r="Q66" s="22"/>
      <x:c r="R66" s="22"/>
    </x:row>
    <x:row r="67">
      <x:c r="A67" s="22" t="n">
        <x:v>63</x:v>
      </x:c>
      <x:c r="B67" s="22"/>
      <x:c r="C67" s="22"/>
      <x:c r="D67" s="22"/>
      <x:c r="E67" s="22"/>
      <x:c r="F67" s="22"/>
      <x:c r="G67" s="22"/>
      <x:c r="H67" s="22"/>
      <x:c r="I67" s="22"/>
      <x:c r="J67" s="22"/>
      <x:c r="K67" s="22"/>
      <x:c r="L67" s="22"/>
      <x:c r="M67" s="22" t="str">
        <x:v>Discovery append</x:v>
      </x:c>
      <x:c r="N67" s="22"/>
      <x:c r="O67" s="22"/>
      <x:c r="P67" s="22"/>
      <x:c r="Q67" s="22"/>
      <x:c r="R67" s="22"/>
    </x:row>
    <x:row r="68">
      <x:c r="A68" s="22" t="n">
        <x:v>64</x:v>
      </x:c>
      <x:c r="B68" s="22"/>
      <x:c r="C68" s="22"/>
      <x:c r="D68" s="22"/>
      <x:c r="E68" s="22"/>
      <x:c r="F68" s="22"/>
      <x:c r="G68" s="22"/>
      <x:c r="H68" s="22"/>
      <x:c r="I68" s="22"/>
      <x:c r="J68" s="22"/>
      <x:c r="K68" s="22"/>
      <x:c r="L68" s="22"/>
      <x:c r="M68" s="22" t="str">
        <x:v>Discovery append</x:v>
      </x:c>
      <x:c r="N68" s="22"/>
      <x:c r="O68" s="22"/>
      <x:c r="P68" s="22"/>
      <x:c r="Q68" s="22"/>
      <x:c r="R68" s="22"/>
    </x:row>
    <x:row r="69">
      <x:c r="A69" s="22" t="n">
        <x:v>65</x:v>
      </x:c>
      <x:c r="B69" s="22"/>
      <x:c r="C69" s="22"/>
      <x:c r="D69" s="22"/>
      <x:c r="E69" s="22"/>
      <x:c r="F69" s="22"/>
      <x:c r="G69" s="22"/>
      <x:c r="H69" s="22"/>
      <x:c r="I69" s="22"/>
      <x:c r="J69" s="22"/>
      <x:c r="K69" s="22"/>
      <x:c r="L69" s="22"/>
      <x:c r="M69" s="22" t="str">
        <x:v>Discovery append</x:v>
      </x:c>
      <x:c r="N69" s="22"/>
      <x:c r="O69" s="22"/>
      <x:c r="P69" s="22"/>
      <x:c r="Q69" s="22"/>
      <x:c r="R69" s="22"/>
    </x:row>
    <x:row r="70">
      <x:c r="A70" s="22" t="n">
        <x:v>66</x:v>
      </x:c>
      <x:c r="B70" s="22"/>
      <x:c r="C70" s="22"/>
      <x:c r="D70" s="22"/>
      <x:c r="E70" s="22"/>
      <x:c r="F70" s="22"/>
      <x:c r="G70" s="22"/>
      <x:c r="H70" s="22"/>
      <x:c r="I70" s="22"/>
      <x:c r="J70" s="22"/>
      <x:c r="K70" s="22"/>
      <x:c r="L70" s="22"/>
      <x:c r="M70" s="22" t="str">
        <x:v>Discovery append</x:v>
      </x:c>
      <x:c r="N70" s="22"/>
      <x:c r="O70" s="22"/>
      <x:c r="P70" s="22"/>
      <x:c r="Q70" s="22"/>
      <x:c r="R70" s="22"/>
    </x:row>
    <x:row r="71">
      <x:c r="A71" s="22" t="n">
        <x:v>67</x:v>
      </x:c>
      <x:c r="B71" s="22"/>
      <x:c r="C71" s="22"/>
      <x:c r="D71" s="22"/>
      <x:c r="E71" s="22"/>
      <x:c r="F71" s="22"/>
      <x:c r="G71" s="22"/>
      <x:c r="H71" s="22"/>
      <x:c r="I71" s="22"/>
      <x:c r="J71" s="22"/>
      <x:c r="K71" s="22"/>
      <x:c r="L71" s="22"/>
      <x:c r="M71" s="22" t="str">
        <x:v>Discovery append</x:v>
      </x:c>
      <x:c r="N71" s="22"/>
      <x:c r="O71" s="22"/>
      <x:c r="P71" s="22"/>
      <x:c r="Q71" s="22"/>
      <x:c r="R71" s="22"/>
    </x:row>
    <x:row r="72">
      <x:c r="A72" s="22" t="n">
        <x:v>68</x:v>
      </x:c>
      <x:c r="B72" s="22"/>
      <x:c r="C72" s="22"/>
      <x:c r="D72" s="22"/>
      <x:c r="E72" s="22"/>
      <x:c r="F72" s="22"/>
      <x:c r="G72" s="22"/>
      <x:c r="H72" s="22"/>
      <x:c r="I72" s="22"/>
      <x:c r="J72" s="22"/>
      <x:c r="K72" s="22"/>
      <x:c r="L72" s="22"/>
      <x:c r="M72" s="22" t="str">
        <x:v>Discovery append</x:v>
      </x:c>
      <x:c r="N72" s="22"/>
      <x:c r="O72" s="22"/>
      <x:c r="P72" s="22"/>
      <x:c r="Q72" s="22"/>
      <x:c r="R72" s="22"/>
    </x:row>
    <x:row r="73">
      <x:c r="A73" s="22" t="n">
        <x:v>69</x:v>
      </x:c>
      <x:c r="B73" s="22"/>
      <x:c r="C73" s="22"/>
      <x:c r="D73" s="22"/>
      <x:c r="E73" s="22"/>
      <x:c r="F73" s="22"/>
      <x:c r="G73" s="22"/>
      <x:c r="H73" s="22"/>
      <x:c r="I73" s="22"/>
      <x:c r="J73" s="22"/>
      <x:c r="K73" s="22"/>
      <x:c r="L73" s="22"/>
      <x:c r="M73" s="22" t="str">
        <x:v>Discovery append</x:v>
      </x:c>
      <x:c r="N73" s="22"/>
      <x:c r="O73" s="22"/>
      <x:c r="P73" s="22"/>
      <x:c r="Q73" s="22"/>
      <x:c r="R73" s="22"/>
    </x:row>
    <x:row r="74">
      <x:c r="A74" s="22" t="n">
        <x:v>70</x:v>
      </x:c>
      <x:c r="B74" s="22"/>
      <x:c r="C74" s="22"/>
      <x:c r="D74" s="22"/>
      <x:c r="E74" s="22"/>
      <x:c r="F74" s="22"/>
      <x:c r="G74" s="22"/>
      <x:c r="H74" s="22"/>
      <x:c r="I74" s="22"/>
      <x:c r="J74" s="22"/>
      <x:c r="K74" s="22"/>
      <x:c r="L74" s="22"/>
      <x:c r="M74" s="22" t="str">
        <x:v>Discovery append</x:v>
      </x:c>
      <x:c r="N74" s="22"/>
      <x:c r="O74" s="22"/>
      <x:c r="P74" s="22"/>
      <x:c r="Q74" s="22"/>
      <x:c r="R74" s="22"/>
    </x:row>
    <x:row r="75">
      <x:c r="A75" s="22" t="n">
        <x:v>71</x:v>
      </x:c>
      <x:c r="B75" s="22"/>
      <x:c r="C75" s="22"/>
      <x:c r="D75" s="22"/>
      <x:c r="E75" s="22"/>
      <x:c r="F75" s="22"/>
      <x:c r="G75" s="22"/>
      <x:c r="H75" s="22"/>
      <x:c r="I75" s="22"/>
      <x:c r="J75" s="22"/>
      <x:c r="K75" s="22"/>
      <x:c r="L75" s="22"/>
      <x:c r="M75" s="22" t="str">
        <x:v>Discovery append</x:v>
      </x:c>
      <x:c r="N75" s="22"/>
      <x:c r="O75" s="22"/>
      <x:c r="P75" s="22"/>
      <x:c r="Q75" s="22"/>
      <x:c r="R75" s="22"/>
    </x:row>
    <x:row r="76">
      <x:c r="A76" s="22" t="n">
        <x:v>72</x:v>
      </x:c>
      <x:c r="B76" s="22"/>
      <x:c r="C76" s="22"/>
      <x:c r="D76" s="22"/>
      <x:c r="E76" s="22"/>
      <x:c r="F76" s="22"/>
      <x:c r="G76" s="22"/>
      <x:c r="H76" s="22"/>
      <x:c r="I76" s="22"/>
      <x:c r="J76" s="22"/>
      <x:c r="K76" s="22"/>
      <x:c r="L76" s="22"/>
      <x:c r="M76" s="22" t="str">
        <x:v>Discovery append</x:v>
      </x:c>
      <x:c r="N76" s="22"/>
      <x:c r="O76" s="22"/>
      <x:c r="P76" s="22"/>
      <x:c r="Q76" s="22"/>
      <x:c r="R76" s="22"/>
    </x:row>
    <x:row r="77">
      <x:c r="A77" s="22" t="n">
        <x:v>73</x:v>
      </x:c>
      <x:c r="B77" s="22"/>
      <x:c r="C77" s="22"/>
      <x:c r="D77" s="22"/>
      <x:c r="E77" s="22"/>
      <x:c r="F77" s="22"/>
      <x:c r="G77" s="22"/>
      <x:c r="H77" s="22"/>
      <x:c r="I77" s="22"/>
      <x:c r="J77" s="22"/>
      <x:c r="K77" s="22"/>
      <x:c r="L77" s="22"/>
      <x:c r="M77" s="22" t="str">
        <x:v>Discovery append</x:v>
      </x:c>
      <x:c r="N77" s="22"/>
      <x:c r="O77" s="22"/>
      <x:c r="P77" s="22"/>
      <x:c r="Q77" s="22"/>
      <x:c r="R77" s="22"/>
    </x:row>
    <x:row r="78">
      <x:c r="A78" s="22" t="n">
        <x:v>74</x:v>
      </x:c>
      <x:c r="B78" s="22"/>
      <x:c r="C78" s="22"/>
      <x:c r="D78" s="22"/>
      <x:c r="E78" s="22"/>
      <x:c r="F78" s="22"/>
      <x:c r="G78" s="22"/>
      <x:c r="H78" s="22"/>
      <x:c r="I78" s="22"/>
      <x:c r="J78" s="22"/>
      <x:c r="K78" s="22"/>
      <x:c r="L78" s="22"/>
      <x:c r="M78" s="22" t="str">
        <x:v>Discovery append</x:v>
      </x:c>
      <x:c r="N78" s="22"/>
      <x:c r="O78" s="22"/>
      <x:c r="P78" s="22"/>
      <x:c r="Q78" s="22"/>
      <x:c r="R78" s="22"/>
    </x:row>
    <x:row r="79">
      <x:c r="A79" s="22" t="n">
        <x:v>75</x:v>
      </x:c>
      <x:c r="B79" s="22"/>
      <x:c r="C79" s="22"/>
      <x:c r="D79" s="22"/>
      <x:c r="E79" s="22"/>
      <x:c r="F79" s="22"/>
      <x:c r="G79" s="22"/>
      <x:c r="H79" s="22"/>
      <x:c r="I79" s="22"/>
      <x:c r="J79" s="22"/>
      <x:c r="K79" s="22"/>
      <x:c r="L79" s="22"/>
      <x:c r="M79" s="22" t="str">
        <x:v>Discovery append</x:v>
      </x:c>
      <x:c r="N79" s="22"/>
      <x:c r="O79" s="22"/>
      <x:c r="P79" s="22"/>
      <x:c r="Q79" s="22"/>
      <x:c r="R79" s="22"/>
    </x:row>
    <x:row r="80">
      <x:c r="A80" s="22" t="n">
        <x:v>76</x:v>
      </x:c>
      <x:c r="B80" s="22"/>
      <x:c r="C80" s="22"/>
      <x:c r="D80" s="22"/>
      <x:c r="E80" s="22"/>
      <x:c r="F80" s="22"/>
      <x:c r="G80" s="22"/>
      <x:c r="H80" s="22"/>
      <x:c r="I80" s="22"/>
      <x:c r="J80" s="22"/>
      <x:c r="K80" s="22"/>
      <x:c r="L80" s="22"/>
      <x:c r="M80" s="22" t="str">
        <x:v>Discovery append</x:v>
      </x:c>
      <x:c r="N80" s="22"/>
      <x:c r="O80" s="22"/>
      <x:c r="P80" s="22"/>
      <x:c r="Q80" s="22"/>
      <x:c r="R80" s="22"/>
    </x:row>
    <x:row r="81">
      <x:c r="A81" s="22" t="n">
        <x:v>77</x:v>
      </x:c>
      <x:c r="B81" s="22"/>
      <x:c r="C81" s="22"/>
      <x:c r="D81" s="22"/>
      <x:c r="E81" s="22"/>
      <x:c r="F81" s="22"/>
      <x:c r="G81" s="22"/>
      <x:c r="H81" s="22"/>
      <x:c r="I81" s="22"/>
      <x:c r="J81" s="22"/>
      <x:c r="K81" s="22"/>
      <x:c r="L81" s="22"/>
      <x:c r="M81" s="22" t="str">
        <x:v>Discovery append</x:v>
      </x:c>
      <x:c r="N81" s="22"/>
      <x:c r="O81" s="22"/>
      <x:c r="P81" s="22"/>
      <x:c r="Q81" s="22"/>
      <x:c r="R81" s="22"/>
    </x:row>
    <x:row r="82">
      <x:c r="A82" s="22" t="n">
        <x:v>78</x:v>
      </x:c>
      <x:c r="B82" s="22"/>
      <x:c r="C82" s="22"/>
      <x:c r="D82" s="22"/>
      <x:c r="E82" s="22"/>
      <x:c r="F82" s="22"/>
      <x:c r="G82" s="22"/>
      <x:c r="H82" s="22"/>
      <x:c r="I82" s="22"/>
      <x:c r="J82" s="22"/>
      <x:c r="K82" s="22"/>
      <x:c r="L82" s="22"/>
      <x:c r="M82" s="22" t="str">
        <x:v>Discovery append</x:v>
      </x:c>
      <x:c r="N82" s="22"/>
      <x:c r="O82" s="22"/>
      <x:c r="P82" s="22"/>
      <x:c r="Q82" s="22"/>
      <x:c r="R82" s="22"/>
    </x:row>
    <x:row r="83">
      <x:c r="A83" s="22" t="n">
        <x:v>79</x:v>
      </x:c>
      <x:c r="B83" s="22"/>
      <x:c r="C83" s="22"/>
      <x:c r="D83" s="22"/>
      <x:c r="E83" s="22"/>
      <x:c r="F83" s="22"/>
      <x:c r="G83" s="22"/>
      <x:c r="H83" s="22"/>
      <x:c r="I83" s="22"/>
      <x:c r="J83" s="22"/>
      <x:c r="K83" s="22"/>
      <x:c r="L83" s="22"/>
      <x:c r="M83" s="22" t="str">
        <x:v>Discovery append</x:v>
      </x:c>
      <x:c r="N83" s="22"/>
      <x:c r="O83" s="22"/>
      <x:c r="P83" s="22"/>
      <x:c r="Q83" s="22"/>
      <x:c r="R83" s="22"/>
    </x:row>
    <x:row r="84">
      <x:c r="A84" s="22" t="n">
        <x:v>80</x:v>
      </x:c>
      <x:c r="B84" s="22"/>
      <x:c r="C84" s="22"/>
      <x:c r="D84" s="22"/>
      <x:c r="E84" s="22"/>
      <x:c r="F84" s="22"/>
      <x:c r="G84" s="22"/>
      <x:c r="H84" s="22"/>
      <x:c r="I84" s="22"/>
      <x:c r="J84" s="22"/>
      <x:c r="K84" s="22"/>
      <x:c r="L84" s="22"/>
      <x:c r="M84" s="22" t="str">
        <x:v>Discovery append</x:v>
      </x:c>
      <x:c r="N84" s="22"/>
      <x:c r="O84" s="22"/>
      <x:c r="P84" s="22"/>
      <x:c r="Q84" s="22"/>
      <x:c r="R84" s="22"/>
    </x:row>
    <x:row r="85">
      <x:c r="A85" s="22" t="n">
        <x:v>81</x:v>
      </x:c>
      <x:c r="B85" s="22"/>
      <x:c r="C85" s="22"/>
      <x:c r="D85" s="22"/>
      <x:c r="E85" s="22"/>
      <x:c r="F85" s="22"/>
      <x:c r="G85" s="22"/>
      <x:c r="H85" s="22"/>
      <x:c r="I85" s="22"/>
      <x:c r="J85" s="22"/>
      <x:c r="K85" s="22"/>
      <x:c r="L85" s="22"/>
      <x:c r="M85" s="22" t="str">
        <x:v>Discovery append</x:v>
      </x:c>
      <x:c r="N85" s="22"/>
      <x:c r="O85" s="22"/>
      <x:c r="P85" s="22"/>
      <x:c r="Q85" s="22"/>
      <x:c r="R85" s="22"/>
    </x:row>
    <x:row r="86">
      <x:c r="A86" s="22" t="n">
        <x:v>82</x:v>
      </x:c>
      <x:c r="B86" s="22"/>
      <x:c r="C86" s="22"/>
      <x:c r="D86" s="22"/>
      <x:c r="E86" s="22"/>
      <x:c r="F86" s="22"/>
      <x:c r="G86" s="22"/>
      <x:c r="H86" s="22"/>
      <x:c r="I86" s="22"/>
      <x:c r="J86" s="22"/>
      <x:c r="K86" s="22"/>
      <x:c r="L86" s="22"/>
      <x:c r="M86" s="22" t="str">
        <x:v>Discovery append</x:v>
      </x:c>
      <x:c r="N86" s="22"/>
      <x:c r="O86" s="22"/>
      <x:c r="P86" s="22"/>
      <x:c r="Q86" s="22"/>
      <x:c r="R86" s="22"/>
    </x:row>
    <x:row r="87">
      <x:c r="A87" s="22" t="n">
        <x:v>83</x:v>
      </x:c>
      <x:c r="B87" s="22"/>
      <x:c r="C87" s="22"/>
      <x:c r="D87" s="22"/>
      <x:c r="E87" s="22"/>
      <x:c r="F87" s="22"/>
      <x:c r="G87" s="22"/>
      <x:c r="H87" s="22"/>
      <x:c r="I87" s="22"/>
      <x:c r="J87" s="22"/>
      <x:c r="K87" s="22"/>
      <x:c r="L87" s="22"/>
      <x:c r="M87" s="22" t="str">
        <x:v>Discovery append</x:v>
      </x:c>
      <x:c r="N87" s="22"/>
      <x:c r="O87" s="22"/>
      <x:c r="P87" s="22"/>
      <x:c r="Q87" s="22"/>
      <x:c r="R87" s="22"/>
    </x:row>
    <x:row r="88">
      <x:c r="A88" s="22" t="n">
        <x:v>84</x:v>
      </x:c>
      <x:c r="B88" s="22"/>
      <x:c r="C88" s="22"/>
      <x:c r="D88" s="22"/>
      <x:c r="E88" s="22"/>
      <x:c r="F88" s="22"/>
      <x:c r="G88" s="22"/>
      <x:c r="H88" s="22"/>
      <x:c r="I88" s="22"/>
      <x:c r="J88" s="22"/>
      <x:c r="K88" s="22"/>
      <x:c r="L88" s="22"/>
      <x:c r="M88" s="22" t="str">
        <x:v>Discovery append</x:v>
      </x:c>
      <x:c r="N88" s="22"/>
      <x:c r="O88" s="22"/>
      <x:c r="P88" s="22"/>
      <x:c r="Q88" s="22"/>
      <x:c r="R88" s="22"/>
    </x:row>
    <x:row r="89">
      <x:c r="A89" s="22" t="n">
        <x:v>85</x:v>
      </x:c>
      <x:c r="B89" s="22"/>
      <x:c r="C89" s="22"/>
      <x:c r="D89" s="22"/>
      <x:c r="E89" s="22"/>
      <x:c r="F89" s="22"/>
      <x:c r="G89" s="22"/>
      <x:c r="H89" s="22"/>
      <x:c r="I89" s="22"/>
      <x:c r="J89" s="22"/>
      <x:c r="K89" s="22"/>
      <x:c r="L89" s="22"/>
      <x:c r="M89" s="22" t="str">
        <x:v>Discovery append</x:v>
      </x:c>
      <x:c r="N89" s="22"/>
      <x:c r="O89" s="22"/>
      <x:c r="P89" s="22"/>
      <x:c r="Q89" s="22"/>
      <x:c r="R89" s="22"/>
    </x:row>
    <x:row r="90">
      <x:c r="A90" s="22" t="n">
        <x:v>86</x:v>
      </x:c>
      <x:c r="B90" s="22"/>
      <x:c r="C90" s="22"/>
      <x:c r="D90" s="22"/>
      <x:c r="E90" s="22"/>
      <x:c r="F90" s="22"/>
      <x:c r="G90" s="22"/>
      <x:c r="H90" s="22"/>
      <x:c r="I90" s="22"/>
      <x:c r="J90" s="22"/>
      <x:c r="K90" s="22"/>
      <x:c r="L90" s="22"/>
      <x:c r="M90" s="22" t="str">
        <x:v>Discovery append</x:v>
      </x:c>
      <x:c r="N90" s="22"/>
      <x:c r="O90" s="22"/>
      <x:c r="P90" s="22"/>
      <x:c r="Q90" s="22"/>
      <x:c r="R90" s="22"/>
    </x:row>
    <x:row r="91">
      <x:c r="A91" s="22" t="n">
        <x:v>87</x:v>
      </x:c>
      <x:c r="B91" s="22"/>
      <x:c r="C91" s="22"/>
      <x:c r="D91" s="22"/>
      <x:c r="E91" s="22"/>
      <x:c r="F91" s="22"/>
      <x:c r="G91" s="22"/>
      <x:c r="H91" s="22"/>
      <x:c r="I91" s="22"/>
      <x:c r="J91" s="22"/>
      <x:c r="K91" s="22"/>
      <x:c r="L91" s="22"/>
      <x:c r="M91" s="22" t="str">
        <x:v>Discovery append</x:v>
      </x:c>
      <x:c r="N91" s="22"/>
      <x:c r="O91" s="22"/>
      <x:c r="P91" s="22"/>
      <x:c r="Q91" s="22"/>
      <x:c r="R91" s="22"/>
    </x:row>
    <x:row r="92">
      <x:c r="A92" s="22" t="n">
        <x:v>88</x:v>
      </x:c>
      <x:c r="B92" s="22"/>
      <x:c r="C92" s="22"/>
      <x:c r="D92" s="22"/>
      <x:c r="E92" s="22"/>
      <x:c r="F92" s="22"/>
      <x:c r="G92" s="22"/>
      <x:c r="H92" s="22"/>
      <x:c r="I92" s="22"/>
      <x:c r="J92" s="22"/>
      <x:c r="K92" s="22"/>
      <x:c r="L92" s="22"/>
      <x:c r="M92" s="22" t="str">
        <x:v>Discovery append</x:v>
      </x:c>
      <x:c r="N92" s="22"/>
      <x:c r="O92" s="22"/>
      <x:c r="P92" s="22"/>
      <x:c r="Q92" s="22"/>
      <x:c r="R92" s="22"/>
    </x:row>
    <x:row r="93">
      <x:c r="A93" s="22" t="n">
        <x:v>89</x:v>
      </x:c>
      <x:c r="B93" s="22"/>
      <x:c r="C93" s="22"/>
      <x:c r="D93" s="22"/>
      <x:c r="E93" s="22"/>
      <x:c r="F93" s="22"/>
      <x:c r="G93" s="22"/>
      <x:c r="H93" s="22"/>
      <x:c r="I93" s="22"/>
      <x:c r="J93" s="22"/>
      <x:c r="K93" s="22"/>
      <x:c r="L93" s="22"/>
      <x:c r="M93" s="22" t="str">
        <x:v>Discovery append</x:v>
      </x:c>
      <x:c r="N93" s="22"/>
      <x:c r="O93" s="22"/>
      <x:c r="P93" s="22"/>
      <x:c r="Q93" s="22"/>
      <x:c r="R93" s="22"/>
    </x:row>
    <x:row r="94">
      <x:c r="A94" s="22" t="n">
        <x:v>90</x:v>
      </x:c>
      <x:c r="B94" s="22"/>
      <x:c r="C94" s="22"/>
      <x:c r="D94" s="22"/>
      <x:c r="E94" s="22"/>
      <x:c r="F94" s="22"/>
      <x:c r="G94" s="22"/>
      <x:c r="H94" s="22"/>
      <x:c r="I94" s="22"/>
      <x:c r="J94" s="22"/>
      <x:c r="K94" s="22"/>
      <x:c r="L94" s="22"/>
      <x:c r="M94" s="22" t="str">
        <x:v>Discovery append</x:v>
      </x:c>
      <x:c r="N94" s="22"/>
      <x:c r="O94" s="22"/>
      <x:c r="P94" s="22"/>
      <x:c r="Q94" s="22"/>
      <x:c r="R94" s="22"/>
    </x:row>
    <x:row r="95">
      <x:c r="A95" s="22" t="n">
        <x:v>91</x:v>
      </x:c>
      <x:c r="B95" s="22"/>
      <x:c r="C95" s="22"/>
      <x:c r="D95" s="22"/>
      <x:c r="E95" s="22"/>
      <x:c r="F95" s="22"/>
      <x:c r="G95" s="22"/>
      <x:c r="H95" s="22"/>
      <x:c r="I95" s="22"/>
      <x:c r="J95" s="22"/>
      <x:c r="K95" s="22"/>
      <x:c r="L95" s="22"/>
      <x:c r="M95" s="22" t="str">
        <x:v>Discovery append</x:v>
      </x:c>
      <x:c r="N95" s="22"/>
      <x:c r="O95" s="22"/>
      <x:c r="P95" s="22"/>
      <x:c r="Q95" s="22"/>
      <x:c r="R95" s="22"/>
    </x:row>
    <x:row r="96">
      <x:c r="A96" s="22" t="n">
        <x:v>92</x:v>
      </x:c>
      <x:c r="B96" s="22"/>
      <x:c r="C96" s="22"/>
      <x:c r="D96" s="22"/>
      <x:c r="E96" s="22"/>
      <x:c r="F96" s="22"/>
      <x:c r="G96" s="22"/>
      <x:c r="H96" s="22"/>
      <x:c r="I96" s="22"/>
      <x:c r="J96" s="22"/>
      <x:c r="K96" s="22"/>
      <x:c r="L96" s="22"/>
      <x:c r="M96" s="22" t="str">
        <x:v>Discovery append</x:v>
      </x:c>
      <x:c r="N96" s="22"/>
      <x:c r="O96" s="22"/>
      <x:c r="P96" s="22"/>
      <x:c r="Q96" s="22"/>
      <x:c r="R96" s="22"/>
    </x:row>
    <x:row r="97">
      <x:c r="A97" s="22" t="n">
        <x:v>93</x:v>
      </x:c>
      <x:c r="B97" s="22"/>
      <x:c r="C97" s="22"/>
      <x:c r="D97" s="22"/>
      <x:c r="E97" s="22"/>
      <x:c r="F97" s="22"/>
      <x:c r="G97" s="22"/>
      <x:c r="H97" s="22"/>
      <x:c r="I97" s="22"/>
      <x:c r="J97" s="22"/>
      <x:c r="K97" s="22"/>
      <x:c r="L97" s="22"/>
      <x:c r="M97" s="22" t="str">
        <x:v>Discovery append</x:v>
      </x:c>
      <x:c r="N97" s="22"/>
      <x:c r="O97" s="22"/>
      <x:c r="P97" s="22"/>
      <x:c r="Q97" s="22"/>
      <x:c r="R97" s="22"/>
    </x:row>
    <x:row r="98">
      <x:c r="A98" s="22" t="n">
        <x:v>94</x:v>
      </x:c>
      <x:c r="B98" s="22"/>
      <x:c r="C98" s="22"/>
      <x:c r="D98" s="22"/>
      <x:c r="E98" s="22"/>
      <x:c r="F98" s="22"/>
      <x:c r="G98" s="22"/>
      <x:c r="H98" s="22"/>
      <x:c r="I98" s="22"/>
      <x:c r="J98" s="22"/>
      <x:c r="K98" s="22"/>
      <x:c r="L98" s="22"/>
      <x:c r="M98" s="22" t="str">
        <x:v>Discovery append</x:v>
      </x:c>
      <x:c r="N98" s="22"/>
      <x:c r="O98" s="22"/>
      <x:c r="P98" s="22"/>
      <x:c r="Q98" s="22"/>
      <x:c r="R98" s="22"/>
    </x:row>
    <x:row r="99">
      <x:c r="A99" s="22" t="n">
        <x:v>95</x:v>
      </x:c>
      <x:c r="B99" s="22"/>
      <x:c r="C99" s="22"/>
      <x:c r="D99" s="22"/>
      <x:c r="E99" s="22"/>
      <x:c r="F99" s="22"/>
      <x:c r="G99" s="22"/>
      <x:c r="H99" s="22"/>
      <x:c r="I99" s="22"/>
      <x:c r="J99" s="22"/>
      <x:c r="K99" s="22"/>
      <x:c r="L99" s="22"/>
      <x:c r="M99" s="22" t="str">
        <x:v>Discovery append</x:v>
      </x:c>
      <x:c r="N99" s="22"/>
      <x:c r="O99" s="22"/>
      <x:c r="P99" s="22"/>
      <x:c r="Q99" s="22"/>
      <x:c r="R99" s="22"/>
    </x:row>
    <x:row r="100">
      <x:c r="A100" s="22" t="n">
        <x:v>96</x:v>
      </x:c>
      <x:c r="B100" s="22"/>
      <x:c r="C100" s="22"/>
      <x:c r="D100" s="22"/>
      <x:c r="E100" s="22"/>
      <x:c r="F100" s="22"/>
      <x:c r="G100" s="22"/>
      <x:c r="H100" s="22"/>
      <x:c r="I100" s="22"/>
      <x:c r="J100" s="22"/>
      <x:c r="K100" s="22"/>
      <x:c r="L100" s="22"/>
      <x:c r="M100" s="22" t="str">
        <x:v>Discovery append</x:v>
      </x:c>
      <x:c r="N100" s="22"/>
      <x:c r="O100" s="22"/>
      <x:c r="P100" s="22"/>
      <x:c r="Q100" s="22"/>
      <x:c r="R100" s="22"/>
    </x:row>
    <x:row r="101">
      <x:c r="A101" s="22" t="n">
        <x:v>97</x:v>
      </x:c>
      <x:c r="B101" s="22"/>
      <x:c r="C101" s="22"/>
      <x:c r="D101" s="22"/>
      <x:c r="E101" s="22"/>
      <x:c r="F101" s="22"/>
      <x:c r="G101" s="22"/>
      <x:c r="H101" s="22"/>
      <x:c r="I101" s="22"/>
      <x:c r="J101" s="22"/>
      <x:c r="K101" s="22"/>
      <x:c r="L101" s="22"/>
      <x:c r="M101" s="22" t="str">
        <x:v>Discovery append</x:v>
      </x:c>
      <x:c r="N101" s="22"/>
      <x:c r="O101" s="22"/>
      <x:c r="P101" s="22"/>
      <x:c r="Q101" s="22"/>
      <x:c r="R101" s="22"/>
    </x:row>
    <x:row r="102">
      <x:c r="A102" s="22" t="n">
        <x:v>98</x:v>
      </x:c>
      <x:c r="B102" s="22"/>
      <x:c r="C102" s="22"/>
      <x:c r="D102" s="22"/>
      <x:c r="E102" s="22"/>
      <x:c r="F102" s="22"/>
      <x:c r="G102" s="22"/>
      <x:c r="H102" s="22"/>
      <x:c r="I102" s="22"/>
      <x:c r="J102" s="22"/>
      <x:c r="K102" s="22"/>
      <x:c r="L102" s="22"/>
      <x:c r="M102" s="22" t="str">
        <x:v>Discovery append</x:v>
      </x:c>
      <x:c r="N102" s="22"/>
      <x:c r="O102" s="22"/>
      <x:c r="P102" s="22"/>
      <x:c r="Q102" s="22"/>
      <x:c r="R102" s="22"/>
    </x:row>
    <x:row r="103">
      <x:c r="A103" s="22" t="n">
        <x:v>99</x:v>
      </x:c>
      <x:c r="B103" s="22"/>
      <x:c r="C103" s="22"/>
      <x:c r="D103" s="22"/>
      <x:c r="E103" s="22"/>
      <x:c r="F103" s="22"/>
      <x:c r="G103" s="22"/>
      <x:c r="H103" s="22"/>
      <x:c r="I103" s="22"/>
      <x:c r="J103" s="22"/>
      <x:c r="K103" s="22"/>
      <x:c r="L103" s="22"/>
      <x:c r="M103" s="22" t="str">
        <x:v>Discovery append</x:v>
      </x:c>
      <x:c r="N103" s="22"/>
      <x:c r="O103" s="22"/>
      <x:c r="P103" s="22"/>
      <x:c r="Q103" s="22"/>
      <x:c r="R103" s="22"/>
    </x:row>
    <x:row r="104">
      <x:c r="A104" s="22" t="n">
        <x:v>100</x:v>
      </x:c>
      <x:c r="B104" s="22"/>
      <x:c r="C104" s="22"/>
      <x:c r="D104" s="22"/>
      <x:c r="E104" s="22"/>
      <x:c r="F104" s="22"/>
      <x:c r="G104" s="22"/>
      <x:c r="H104" s="22"/>
      <x:c r="I104" s="22"/>
      <x:c r="J104" s="22"/>
      <x:c r="K104" s="22"/>
      <x:c r="L104" s="22"/>
      <x:c r="M104" s="22" t="str">
        <x:v>Discovery append</x:v>
      </x:c>
      <x:c r="N104" s="22"/>
      <x:c r="O104" s="22"/>
      <x:c r="P104" s="22"/>
      <x:c r="Q104" s="22"/>
      <x:c r="R104" s="22"/>
    </x:row>
    <x:row r="105">
      <x:c r="A105" s="22" t="n">
        <x:v>101</x:v>
      </x:c>
      <x:c r="B105" s="22"/>
      <x:c r="C105" s="22"/>
      <x:c r="D105" s="22"/>
      <x:c r="E105" s="22"/>
      <x:c r="F105" s="22"/>
      <x:c r="G105" s="22"/>
      <x:c r="H105" s="22"/>
      <x:c r="I105" s="22"/>
      <x:c r="J105" s="22"/>
      <x:c r="K105" s="22"/>
      <x:c r="L105" s="22"/>
      <x:c r="M105" s="22" t="str">
        <x:v>Discovery append</x:v>
      </x:c>
      <x:c r="N105" s="22"/>
      <x:c r="O105" s="22"/>
      <x:c r="P105" s="22"/>
      <x:c r="Q105" s="22"/>
      <x:c r="R105" s="22"/>
    </x:row>
    <x:row r="106">
      <x:c r="A106" s="22" t="n">
        <x:v>102</x:v>
      </x:c>
      <x:c r="B106" s="22"/>
      <x:c r="C106" s="22"/>
      <x:c r="D106" s="22"/>
      <x:c r="E106" s="22"/>
      <x:c r="F106" s="22"/>
      <x:c r="G106" s="22"/>
      <x:c r="H106" s="22"/>
      <x:c r="I106" s="22"/>
      <x:c r="J106" s="22"/>
      <x:c r="K106" s="22"/>
      <x:c r="L106" s="22"/>
      <x:c r="M106" s="22" t="str">
        <x:v>Discovery append</x:v>
      </x:c>
      <x:c r="N106" s="22"/>
      <x:c r="O106" s="22"/>
      <x:c r="P106" s="22"/>
      <x:c r="Q106" s="22"/>
      <x:c r="R106" s="22"/>
    </x:row>
    <x:row r="107">
      <x:c r="A107" s="22" t="n">
        <x:v>103</x:v>
      </x:c>
      <x:c r="B107" s="22"/>
      <x:c r="C107" s="22"/>
      <x:c r="D107" s="22"/>
      <x:c r="E107" s="22"/>
      <x:c r="F107" s="22"/>
      <x:c r="G107" s="22"/>
      <x:c r="H107" s="22"/>
      <x:c r="I107" s="22"/>
      <x:c r="J107" s="22"/>
      <x:c r="K107" s="22"/>
      <x:c r="L107" s="22"/>
      <x:c r="M107" s="22" t="str">
        <x:v>Discovery append</x:v>
      </x:c>
      <x:c r="N107" s="22"/>
      <x:c r="O107" s="22"/>
      <x:c r="P107" s="22"/>
      <x:c r="Q107" s="22"/>
      <x:c r="R107" s="22"/>
    </x:row>
    <x:row r="108">
      <x:c r="A108" s="22" t="n">
        <x:v>104</x:v>
      </x:c>
      <x:c r="B108" s="22"/>
      <x:c r="C108" s="22"/>
      <x:c r="D108" s="22"/>
      <x:c r="E108" s="22"/>
      <x:c r="F108" s="22"/>
      <x:c r="G108" s="22"/>
      <x:c r="H108" s="22"/>
      <x:c r="I108" s="22"/>
      <x:c r="J108" s="22"/>
      <x:c r="K108" s="22"/>
      <x:c r="L108" s="22"/>
      <x:c r="M108" s="22" t="str">
        <x:v>Discovery append</x:v>
      </x:c>
      <x:c r="N108" s="22"/>
      <x:c r="O108" s="22"/>
      <x:c r="P108" s="22"/>
      <x:c r="Q108" s="22"/>
      <x:c r="R108" s="22"/>
    </x:row>
    <x:row r="109">
      <x:c r="A109" s="22" t="n">
        <x:v>105</x:v>
      </x:c>
      <x:c r="B109" s="22"/>
      <x:c r="C109" s="22"/>
      <x:c r="D109" s="22"/>
      <x:c r="E109" s="22"/>
      <x:c r="F109" s="22"/>
      <x:c r="G109" s="22"/>
      <x:c r="H109" s="22"/>
      <x:c r="I109" s="22"/>
      <x:c r="J109" s="22"/>
      <x:c r="K109" s="22"/>
      <x:c r="L109" s="22"/>
      <x:c r="M109" s="22" t="str">
        <x:v>Discovery append</x:v>
      </x:c>
      <x:c r="N109" s="22"/>
      <x:c r="O109" s="22"/>
      <x:c r="P109" s="22"/>
      <x:c r="Q109" s="22"/>
      <x:c r="R109" s="22"/>
    </x:row>
    <x:row r="110">
      <x:c r="A110" s="22" t="n">
        <x:v>106</x:v>
      </x:c>
      <x:c r="B110" s="22"/>
      <x:c r="C110" s="22"/>
      <x:c r="D110" s="22"/>
      <x:c r="E110" s="22"/>
      <x:c r="F110" s="22"/>
      <x:c r="G110" s="22"/>
      <x:c r="H110" s="22"/>
      <x:c r="I110" s="22"/>
      <x:c r="J110" s="22"/>
      <x:c r="K110" s="22"/>
      <x:c r="L110" s="22"/>
      <x:c r="M110" s="22" t="str">
        <x:v>Discovery append</x:v>
      </x:c>
      <x:c r="N110" s="22"/>
      <x:c r="O110" s="22"/>
      <x:c r="P110" s="22"/>
      <x:c r="Q110" s="22"/>
      <x:c r="R110" s="22"/>
    </x:row>
    <x:row r="111">
      <x:c r="A111" s="22" t="n">
        <x:v>107</x:v>
      </x:c>
      <x:c r="B111" s="22"/>
      <x:c r="C111" s="22"/>
      <x:c r="D111" s="22"/>
      <x:c r="E111" s="22"/>
      <x:c r="F111" s="22"/>
      <x:c r="G111" s="22"/>
      <x:c r="H111" s="22"/>
      <x:c r="I111" s="22"/>
      <x:c r="J111" s="22"/>
      <x:c r="K111" s="22"/>
      <x:c r="L111" s="22"/>
      <x:c r="M111" s="22" t="str">
        <x:v>Discovery append</x:v>
      </x:c>
      <x:c r="N111" s="22"/>
      <x:c r="O111" s="22"/>
      <x:c r="P111" s="22"/>
      <x:c r="Q111" s="22"/>
      <x:c r="R111" s="22"/>
    </x:row>
    <x:row r="112">
      <x:c r="A112" s="22" t="n">
        <x:v>108</x:v>
      </x:c>
      <x:c r="B112" s="22"/>
      <x:c r="C112" s="22"/>
      <x:c r="D112" s="22"/>
      <x:c r="E112" s="22"/>
      <x:c r="F112" s="22"/>
      <x:c r="G112" s="22"/>
      <x:c r="H112" s="22"/>
      <x:c r="I112" s="22"/>
      <x:c r="J112" s="22"/>
      <x:c r="K112" s="22"/>
      <x:c r="L112" s="22"/>
      <x:c r="M112" s="22" t="str">
        <x:v>Discovery append</x:v>
      </x:c>
      <x:c r="N112" s="22"/>
      <x:c r="O112" s="22"/>
      <x:c r="P112" s="22"/>
      <x:c r="Q112" s="22"/>
      <x:c r="R112" s="22"/>
    </x:row>
    <x:row r="113">
      <x:c r="A113" s="22" t="n">
        <x:v>109</x:v>
      </x:c>
      <x:c r="B113" s="22"/>
      <x:c r="C113" s="22"/>
      <x:c r="D113" s="22"/>
      <x:c r="E113" s="22"/>
      <x:c r="F113" s="22"/>
      <x:c r="G113" s="22"/>
      <x:c r="H113" s="22"/>
      <x:c r="I113" s="22"/>
      <x:c r="J113" s="22"/>
      <x:c r="K113" s="22"/>
      <x:c r="L113" s="22"/>
      <x:c r="M113" s="22" t="str">
        <x:v>Discovery append</x:v>
      </x:c>
      <x:c r="N113" s="22"/>
      <x:c r="O113" s="22"/>
      <x:c r="P113" s="22"/>
      <x:c r="Q113" s="22"/>
      <x:c r="R113" s="22"/>
    </x:row>
    <x:row r="114">
      <x:c r="A114" s="22" t="n">
        <x:v>110</x:v>
      </x:c>
      <x:c r="B114" s="22"/>
      <x:c r="C114" s="22"/>
      <x:c r="D114" s="22"/>
      <x:c r="E114" s="22"/>
      <x:c r="F114" s="22"/>
      <x:c r="G114" s="22"/>
      <x:c r="H114" s="22"/>
      <x:c r="I114" s="22"/>
      <x:c r="J114" s="22"/>
      <x:c r="K114" s="22"/>
      <x:c r="L114" s="22"/>
      <x:c r="M114" s="22" t="str">
        <x:v>Discovery append</x:v>
      </x:c>
      <x:c r="N114" s="22"/>
      <x:c r="O114" s="22"/>
      <x:c r="P114" s="22"/>
      <x:c r="Q114" s="22"/>
      <x:c r="R114" s="22"/>
    </x:row>
    <x:row r="115">
      <x:c r="A115" s="22" t="n">
        <x:v>111</x:v>
      </x:c>
      <x:c r="B115" s="22"/>
      <x:c r="C115" s="22"/>
      <x:c r="D115" s="22"/>
      <x:c r="E115" s="22"/>
      <x:c r="F115" s="22"/>
      <x:c r="G115" s="22"/>
      <x:c r="H115" s="22"/>
      <x:c r="I115" s="22"/>
      <x:c r="J115" s="22"/>
      <x:c r="K115" s="22"/>
      <x:c r="L115" s="22"/>
      <x:c r="M115" s="22" t="str">
        <x:v>Discovery append</x:v>
      </x:c>
      <x:c r="N115" s="22"/>
      <x:c r="O115" s="22"/>
      <x:c r="P115" s="22"/>
      <x:c r="Q115" s="22"/>
      <x:c r="R115" s="22"/>
    </x:row>
    <x:row r="116">
      <x:c r="A116" s="22" t="n">
        <x:v>112</x:v>
      </x:c>
      <x:c r="B116" s="22"/>
      <x:c r="C116" s="22"/>
      <x:c r="D116" s="22"/>
      <x:c r="E116" s="22"/>
      <x:c r="F116" s="22"/>
      <x:c r="G116" s="22"/>
      <x:c r="H116" s="22"/>
      <x:c r="I116" s="22"/>
      <x:c r="J116" s="22"/>
      <x:c r="K116" s="22"/>
      <x:c r="L116" s="22"/>
      <x:c r="M116" s="22" t="str">
        <x:v>Discovery append</x:v>
      </x:c>
      <x:c r="N116" s="22"/>
      <x:c r="O116" s="22"/>
      <x:c r="P116" s="22"/>
      <x:c r="Q116" s="22"/>
      <x:c r="R116" s="22"/>
    </x:row>
    <x:row r="117">
      <x:c r="A117" s="22" t="n">
        <x:v>113</x:v>
      </x:c>
      <x:c r="B117" s="22"/>
      <x:c r="C117" s="22"/>
      <x:c r="D117" s="22"/>
      <x:c r="E117" s="22"/>
      <x:c r="F117" s="22"/>
      <x:c r="G117" s="22"/>
      <x:c r="H117" s="22"/>
      <x:c r="I117" s="22"/>
      <x:c r="J117" s="22"/>
      <x:c r="K117" s="22"/>
      <x:c r="L117" s="22"/>
      <x:c r="M117" s="22" t="str">
        <x:v>Discovery append</x:v>
      </x:c>
      <x:c r="N117" s="22"/>
      <x:c r="O117" s="22"/>
      <x:c r="P117" s="22"/>
      <x:c r="Q117" s="22"/>
      <x:c r="R117" s="22"/>
    </x:row>
    <x:row r="118">
      <x:c r="A118" s="22" t="n">
        <x:v>114</x:v>
      </x:c>
      <x:c r="B118" s="22"/>
      <x:c r="C118" s="22"/>
      <x:c r="D118" s="22"/>
      <x:c r="E118" s="22"/>
      <x:c r="F118" s="22"/>
      <x:c r="G118" s="22"/>
      <x:c r="H118" s="22"/>
      <x:c r="I118" s="22"/>
      <x:c r="J118" s="22"/>
      <x:c r="K118" s="22"/>
      <x:c r="L118" s="22"/>
      <x:c r="M118" s="22" t="str">
        <x:v>Discovery append</x:v>
      </x:c>
      <x:c r="N118" s="22"/>
      <x:c r="O118" s="22"/>
      <x:c r="P118" s="22"/>
      <x:c r="Q118" s="22"/>
      <x:c r="R118" s="22"/>
    </x:row>
    <x:row r="119">
      <x:c r="A119" s="22" t="n">
        <x:v>115</x:v>
      </x:c>
      <x:c r="B119" s="22"/>
      <x:c r="C119" s="22"/>
      <x:c r="D119" s="22"/>
      <x:c r="E119" s="22"/>
      <x:c r="F119" s="22"/>
      <x:c r="G119" s="22"/>
      <x:c r="H119" s="22"/>
      <x:c r="I119" s="22"/>
      <x:c r="J119" s="22"/>
      <x:c r="K119" s="22"/>
      <x:c r="L119" s="22"/>
      <x:c r="M119" s="22" t="str">
        <x:v>Discovery append</x:v>
      </x:c>
      <x:c r="N119" s="22"/>
      <x:c r="O119" s="22"/>
      <x:c r="P119" s="22"/>
      <x:c r="Q119" s="22"/>
      <x:c r="R119" s="22"/>
    </x:row>
    <x:row r="120">
      <x:c r="A120" s="22" t="n">
        <x:v>116</x:v>
      </x:c>
      <x:c r="B120" s="22"/>
      <x:c r="C120" s="22"/>
      <x:c r="D120" s="22"/>
      <x:c r="E120" s="22"/>
      <x:c r="F120" s="22"/>
      <x:c r="G120" s="22"/>
      <x:c r="H120" s="22"/>
      <x:c r="I120" s="22"/>
      <x:c r="J120" s="22"/>
      <x:c r="K120" s="22"/>
      <x:c r="L120" s="22"/>
      <x:c r="M120" s="22" t="str">
        <x:v>Discovery append</x:v>
      </x:c>
      <x:c r="N120" s="22"/>
      <x:c r="O120" s="22"/>
      <x:c r="P120" s="22"/>
      <x:c r="Q120" s="22"/>
      <x:c r="R120" s="22"/>
    </x:row>
    <x:row r="121">
      <x:c r="A121" s="22" t="n">
        <x:v>117</x:v>
      </x:c>
      <x:c r="B121" s="22"/>
      <x:c r="C121" s="22"/>
      <x:c r="D121" s="22"/>
      <x:c r="E121" s="22"/>
      <x:c r="F121" s="22"/>
      <x:c r="G121" s="22"/>
      <x:c r="H121" s="22"/>
      <x:c r="I121" s="22"/>
      <x:c r="J121" s="22"/>
      <x:c r="K121" s="22"/>
      <x:c r="L121" s="22"/>
      <x:c r="M121" s="22" t="str">
        <x:v>Discovery append</x:v>
      </x:c>
      <x:c r="N121" s="22"/>
      <x:c r="O121" s="22"/>
      <x:c r="P121" s="22"/>
      <x:c r="Q121" s="22"/>
      <x:c r="R121" s="22"/>
    </x:row>
    <x:row r="122">
      <x:c r="A122" s="22" t="n">
        <x:v>118</x:v>
      </x:c>
      <x:c r="B122" s="22"/>
      <x:c r="C122" s="22"/>
      <x:c r="D122" s="22"/>
      <x:c r="E122" s="22"/>
      <x:c r="F122" s="22"/>
      <x:c r="G122" s="22"/>
      <x:c r="H122" s="22"/>
      <x:c r="I122" s="22"/>
      <x:c r="J122" s="22"/>
      <x:c r="K122" s="22"/>
      <x:c r="L122" s="22"/>
      <x:c r="M122" s="22" t="str">
        <x:v>Discovery append</x:v>
      </x:c>
      <x:c r="N122" s="22"/>
      <x:c r="O122" s="22"/>
      <x:c r="P122" s="22"/>
      <x:c r="Q122" s="22"/>
      <x:c r="R122" s="22"/>
    </x:row>
    <x:row r="123">
      <x:c r="A123" s="22" t="n">
        <x:v>119</x:v>
      </x:c>
      <x:c r="B123" s="22"/>
      <x:c r="C123" s="22"/>
      <x:c r="D123" s="22"/>
      <x:c r="E123" s="22"/>
      <x:c r="F123" s="22"/>
      <x:c r="G123" s="22"/>
      <x:c r="H123" s="22"/>
      <x:c r="I123" s="22"/>
      <x:c r="J123" s="22"/>
      <x:c r="K123" s="22"/>
      <x:c r="L123" s="22"/>
      <x:c r="M123" s="22" t="str">
        <x:v>Discovery append</x:v>
      </x:c>
      <x:c r="N123" s="22"/>
      <x:c r="O123" s="22"/>
      <x:c r="P123" s="22"/>
      <x:c r="Q123" s="22"/>
      <x:c r="R123" s="22"/>
    </x:row>
    <x:row r="124">
      <x:c r="A124" s="22" t="n">
        <x:v>120</x:v>
      </x:c>
      <x:c r="B124" s="22"/>
      <x:c r="C124" s="22"/>
      <x:c r="D124" s="22"/>
      <x:c r="E124" s="22"/>
      <x:c r="F124" s="22"/>
      <x:c r="G124" s="22"/>
      <x:c r="H124" s="22"/>
      <x:c r="I124" s="22"/>
      <x:c r="J124" s="22"/>
      <x:c r="K124" s="22"/>
      <x:c r="L124" s="22"/>
      <x:c r="M124" s="22" t="str">
        <x:v>Discovery append</x:v>
      </x:c>
      <x:c r="N124" s="22"/>
      <x:c r="O124" s="22"/>
      <x:c r="P124" s="22"/>
      <x:c r="Q124" s="22"/>
      <x:c r="R124" s="22"/>
    </x:row>
    <x:row r="125">
      <x:c r="A125" s="22" t="n">
        <x:v>121</x:v>
      </x:c>
      <x:c r="B125" s="22"/>
      <x:c r="C125" s="22"/>
      <x:c r="D125" s="22"/>
      <x:c r="E125" s="22"/>
      <x:c r="F125" s="22"/>
      <x:c r="G125" s="22"/>
      <x:c r="H125" s="22"/>
      <x:c r="I125" s="22"/>
      <x:c r="J125" s="22"/>
      <x:c r="K125" s="22"/>
      <x:c r="L125" s="22"/>
      <x:c r="M125" s="22" t="str">
        <x:v>Discovery append</x:v>
      </x:c>
      <x:c r="N125" s="22"/>
      <x:c r="O125" s="22"/>
      <x:c r="P125" s="22"/>
      <x:c r="Q125" s="22"/>
      <x:c r="R125" s="22"/>
    </x:row>
    <x:row r="126">
      <x:c r="A126" s="22" t="n">
        <x:v>122</x:v>
      </x:c>
      <x:c r="B126" s="22"/>
      <x:c r="C126" s="22"/>
      <x:c r="D126" s="22"/>
      <x:c r="E126" s="22"/>
      <x:c r="F126" s="22"/>
      <x:c r="G126" s="22"/>
      <x:c r="H126" s="22"/>
      <x:c r="I126" s="22"/>
      <x:c r="J126" s="22"/>
      <x:c r="K126" s="22"/>
      <x:c r="L126" s="22"/>
      <x:c r="M126" s="22" t="str">
        <x:v>Discovery append</x:v>
      </x:c>
      <x:c r="N126" s="22"/>
      <x:c r="O126" s="22"/>
      <x:c r="P126" s="22"/>
      <x:c r="Q126" s="22"/>
      <x:c r="R126" s="22"/>
    </x:row>
    <x:row r="127">
      <x:c r="A127" s="22" t="n">
        <x:v>123</x:v>
      </x:c>
      <x:c r="B127" s="22"/>
      <x:c r="C127" s="22"/>
      <x:c r="D127" s="22"/>
      <x:c r="E127" s="22"/>
      <x:c r="F127" s="22"/>
      <x:c r="G127" s="22"/>
      <x:c r="H127" s="22"/>
      <x:c r="I127" s="22"/>
      <x:c r="J127" s="22"/>
      <x:c r="K127" s="22"/>
      <x:c r="L127" s="22"/>
      <x:c r="M127" s="22" t="str">
        <x:v>Discovery append</x:v>
      </x:c>
      <x:c r="N127" s="22"/>
      <x:c r="O127" s="22"/>
      <x:c r="P127" s="22"/>
      <x:c r="Q127" s="22"/>
      <x:c r="R127" s="22"/>
    </x:row>
    <x:row r="128">
      <x:c r="A128" s="22" t="n">
        <x:v>124</x:v>
      </x:c>
      <x:c r="B128" s="22"/>
      <x:c r="C128" s="22"/>
      <x:c r="D128" s="22"/>
      <x:c r="E128" s="22"/>
      <x:c r="F128" s="22"/>
      <x:c r="G128" s="22"/>
      <x:c r="H128" s="22"/>
      <x:c r="I128" s="22"/>
      <x:c r="J128" s="22"/>
      <x:c r="K128" s="22"/>
      <x:c r="L128" s="22"/>
      <x:c r="M128" s="22" t="str">
        <x:v>Discovery append</x:v>
      </x:c>
      <x:c r="N128" s="22"/>
      <x:c r="O128" s="22"/>
      <x:c r="P128" s="22"/>
      <x:c r="Q128" s="22"/>
      <x:c r="R128" s="22"/>
    </x:row>
    <x:row r="129">
      <x:c r="A129" s="22" t="n">
        <x:v>125</x:v>
      </x:c>
      <x:c r="B129" s="22"/>
      <x:c r="C129" s="22"/>
      <x:c r="D129" s="22"/>
      <x:c r="E129" s="22"/>
      <x:c r="F129" s="22"/>
      <x:c r="G129" s="22"/>
      <x:c r="H129" s="22"/>
      <x:c r="I129" s="22"/>
      <x:c r="J129" s="22"/>
      <x:c r="K129" s="22"/>
      <x:c r="L129" s="22"/>
      <x:c r="M129" s="22" t="str">
        <x:v>Discovery append</x:v>
      </x:c>
      <x:c r="N129" s="22"/>
      <x:c r="O129" s="22"/>
      <x:c r="P129" s="22"/>
      <x:c r="Q129" s="22"/>
      <x:c r="R129" s="22"/>
    </x:row>
    <x:row r="130">
      <x:c r="A130" s="22" t="n">
        <x:v>126</x:v>
      </x:c>
      <x:c r="B130" s="22"/>
      <x:c r="C130" s="22"/>
      <x:c r="D130" s="22"/>
      <x:c r="E130" s="22"/>
      <x:c r="F130" s="22"/>
      <x:c r="G130" s="22"/>
      <x:c r="H130" s="22"/>
      <x:c r="I130" s="22"/>
      <x:c r="J130" s="22"/>
      <x:c r="K130" s="22"/>
      <x:c r="L130" s="22"/>
      <x:c r="M130" s="22" t="str">
        <x:v>Discovery append</x:v>
      </x:c>
      <x:c r="N130" s="22"/>
      <x:c r="O130" s="22"/>
      <x:c r="P130" s="22"/>
      <x:c r="Q130" s="22"/>
      <x:c r="R130" s="22"/>
    </x:row>
    <x:row r="131">
      <x:c r="A131" s="22" t="n">
        <x:v>127</x:v>
      </x:c>
      <x:c r="B131" s="22"/>
      <x:c r="C131" s="22"/>
      <x:c r="D131" s="22"/>
      <x:c r="E131" s="22"/>
      <x:c r="F131" s="22"/>
      <x:c r="G131" s="22"/>
      <x:c r="H131" s="22"/>
      <x:c r="I131" s="22"/>
      <x:c r="J131" s="22"/>
      <x:c r="K131" s="22"/>
      <x:c r="L131" s="22"/>
      <x:c r="M131" s="22" t="str">
        <x:v>Discovery append</x:v>
      </x:c>
      <x:c r="N131" s="22"/>
      <x:c r="O131" s="22"/>
      <x:c r="P131" s="22"/>
      <x:c r="Q131" s="22"/>
      <x:c r="R131" s="22"/>
    </x:row>
    <x:row r="132">
      <x:c r="A132" s="22" t="n">
        <x:v>128</x:v>
      </x:c>
      <x:c r="B132" s="22"/>
      <x:c r="C132" s="22"/>
      <x:c r="D132" s="22"/>
      <x:c r="E132" s="22"/>
      <x:c r="F132" s="22"/>
      <x:c r="G132" s="22"/>
      <x:c r="H132" s="22"/>
      <x:c r="I132" s="22"/>
      <x:c r="J132" s="22"/>
      <x:c r="K132" s="22"/>
      <x:c r="L132" s="22"/>
      <x:c r="M132" s="22" t="str">
        <x:v>Discovery append</x:v>
      </x:c>
      <x:c r="N132" s="22"/>
      <x:c r="O132" s="22"/>
      <x:c r="P132" s="22"/>
      <x:c r="Q132" s="22"/>
      <x:c r="R132" s="22"/>
    </x:row>
    <x:row r="133">
      <x:c r="A133" s="22" t="n">
        <x:v>129</x:v>
      </x:c>
      <x:c r="B133" s="22"/>
      <x:c r="C133" s="22"/>
      <x:c r="D133" s="22"/>
      <x:c r="E133" s="22"/>
      <x:c r="F133" s="22"/>
      <x:c r="G133" s="22"/>
      <x:c r="H133" s="22"/>
      <x:c r="I133" s="22"/>
      <x:c r="J133" s="22"/>
      <x:c r="K133" s="22"/>
      <x:c r="L133" s="22"/>
      <x:c r="M133" s="22" t="str">
        <x:v>Discovery append</x:v>
      </x:c>
      <x:c r="N133" s="22"/>
      <x:c r="O133" s="22"/>
      <x:c r="P133" s="22"/>
      <x:c r="Q133" s="22"/>
      <x:c r="R133" s="22"/>
    </x:row>
    <x:row r="134">
      <x:c r="A134" s="22" t="n">
        <x:v>130</x:v>
      </x:c>
      <x:c r="B134" s="22"/>
      <x:c r="C134" s="22"/>
      <x:c r="D134" s="22"/>
      <x:c r="E134" s="22"/>
      <x:c r="F134" s="22"/>
      <x:c r="G134" s="22"/>
      <x:c r="H134" s="22"/>
      <x:c r="I134" s="22"/>
      <x:c r="J134" s="22"/>
      <x:c r="K134" s="22"/>
      <x:c r="L134" s="22"/>
      <x:c r="M134" s="22" t="str">
        <x:v>Discovery append</x:v>
      </x:c>
      <x:c r="N134" s="22"/>
      <x:c r="O134" s="22"/>
      <x:c r="P134" s="22"/>
      <x:c r="Q134" s="22"/>
      <x:c r="R134" s="22"/>
    </x:row>
    <x:row r="135">
      <x:c r="A135" s="22" t="n">
        <x:v>131</x:v>
      </x:c>
      <x:c r="B135" s="22"/>
      <x:c r="C135" s="22"/>
      <x:c r="D135" s="22"/>
      <x:c r="E135" s="22"/>
      <x:c r="F135" s="22"/>
      <x:c r="G135" s="22"/>
      <x:c r="H135" s="22"/>
      <x:c r="I135" s="22"/>
      <x:c r="J135" s="22"/>
      <x:c r="K135" s="22"/>
      <x:c r="L135" s="22"/>
      <x:c r="M135" s="22" t="str">
        <x:v>Discovery append</x:v>
      </x:c>
      <x:c r="N135" s="22"/>
      <x:c r="O135" s="22"/>
      <x:c r="P135" s="22"/>
      <x:c r="Q135" s="22"/>
      <x:c r="R135" s="22"/>
    </x:row>
    <x:row r="136">
      <x:c r="A136" s="22" t="n">
        <x:v>132</x:v>
      </x:c>
      <x:c r="B136" s="22"/>
      <x:c r="C136" s="22"/>
      <x:c r="D136" s="22"/>
      <x:c r="E136" s="22"/>
      <x:c r="F136" s="22"/>
      <x:c r="G136" s="22"/>
      <x:c r="H136" s="22"/>
      <x:c r="I136" s="22"/>
      <x:c r="J136" s="22"/>
      <x:c r="K136" s="22"/>
      <x:c r="L136" s="22"/>
      <x:c r="M136" s="22" t="str">
        <x:v>Discovery append</x:v>
      </x:c>
      <x:c r="N136" s="22"/>
      <x:c r="O136" s="22"/>
      <x:c r="P136" s="22"/>
      <x:c r="Q136" s="22"/>
      <x:c r="R136" s="22"/>
    </x:row>
    <x:row r="137">
      <x:c r="A137" s="22" t="n">
        <x:v>133</x:v>
      </x:c>
      <x:c r="B137" s="22"/>
      <x:c r="C137" s="22"/>
      <x:c r="D137" s="22"/>
      <x:c r="E137" s="22"/>
      <x:c r="F137" s="22"/>
      <x:c r="G137" s="22"/>
      <x:c r="H137" s="22"/>
      <x:c r="I137" s="22"/>
      <x:c r="J137" s="22"/>
      <x:c r="K137" s="22"/>
      <x:c r="L137" s="22"/>
      <x:c r="M137" s="22" t="str">
        <x:v>Discovery append</x:v>
      </x:c>
      <x:c r="N137" s="22"/>
      <x:c r="O137" s="22"/>
      <x:c r="P137" s="22"/>
      <x:c r="Q137" s="22"/>
      <x:c r="R137" s="22"/>
    </x:row>
    <x:row r="138">
      <x:c r="A138" s="22" t="n">
        <x:v>134</x:v>
      </x:c>
      <x:c r="B138" s="22"/>
      <x:c r="C138" s="22"/>
      <x:c r="D138" s="22"/>
      <x:c r="E138" s="22"/>
      <x:c r="F138" s="22"/>
      <x:c r="G138" s="22"/>
      <x:c r="H138" s="22"/>
      <x:c r="I138" s="22"/>
      <x:c r="J138" s="22"/>
      <x:c r="K138" s="22"/>
      <x:c r="L138" s="22"/>
      <x:c r="M138" s="22" t="str">
        <x:v>Discovery append</x:v>
      </x:c>
      <x:c r="N138" s="22"/>
      <x:c r="O138" s="22"/>
      <x:c r="P138" s="22"/>
      <x:c r="Q138" s="22"/>
      <x:c r="R138" s="22"/>
    </x:row>
    <x:row r="139">
      <x:c r="A139" s="22" t="n">
        <x:v>135</x:v>
      </x:c>
      <x:c r="B139" s="22"/>
      <x:c r="C139" s="22"/>
      <x:c r="D139" s="22"/>
      <x:c r="E139" s="22"/>
      <x:c r="F139" s="22"/>
      <x:c r="G139" s="22"/>
      <x:c r="H139" s="22"/>
      <x:c r="I139" s="22"/>
      <x:c r="J139" s="22"/>
      <x:c r="K139" s="22"/>
      <x:c r="L139" s="22"/>
      <x:c r="M139" s="22" t="str">
        <x:v>Discovery append</x:v>
      </x:c>
      <x:c r="N139" s="22"/>
      <x:c r="O139" s="22"/>
      <x:c r="P139" s="22"/>
      <x:c r="Q139" s="22"/>
      <x:c r="R139" s="22"/>
    </x:row>
    <x:row r="140">
      <x:c r="A140" s="22" t="n">
        <x:v>136</x:v>
      </x:c>
      <x:c r="B140" s="22"/>
      <x:c r="C140" s="22"/>
      <x:c r="D140" s="22"/>
      <x:c r="E140" s="22"/>
      <x:c r="F140" s="22"/>
      <x:c r="G140" s="22"/>
      <x:c r="H140" s="22"/>
      <x:c r="I140" s="22"/>
      <x:c r="J140" s="22"/>
      <x:c r="K140" s="22"/>
      <x:c r="L140" s="22"/>
      <x:c r="M140" s="22" t="str">
        <x:v>Discovery append</x:v>
      </x:c>
      <x:c r="N140" s="22"/>
      <x:c r="O140" s="22"/>
      <x:c r="P140" s="22"/>
      <x:c r="Q140" s="22"/>
      <x:c r="R140" s="22"/>
    </x:row>
    <x:row r="141">
      <x:c r="A141" s="22" t="n">
        <x:v>137</x:v>
      </x:c>
      <x:c r="B141" s="22"/>
      <x:c r="C141" s="22"/>
      <x:c r="D141" s="22"/>
      <x:c r="E141" s="22"/>
      <x:c r="F141" s="22"/>
      <x:c r="G141" s="22"/>
      <x:c r="H141" s="22"/>
      <x:c r="I141" s="22"/>
      <x:c r="J141" s="22"/>
      <x:c r="K141" s="22"/>
      <x:c r="L141" s="22"/>
      <x:c r="M141" s="22" t="str">
        <x:v>Discovery append</x:v>
      </x:c>
      <x:c r="N141" s="22"/>
      <x:c r="O141" s="22"/>
      <x:c r="P141" s="22"/>
      <x:c r="Q141" s="22"/>
      <x:c r="R141" s="22"/>
    </x:row>
    <x:row r="142">
      <x:c r="A142" s="22" t="n">
        <x:v>138</x:v>
      </x:c>
      <x:c r="B142" s="22"/>
      <x:c r="C142" s="22"/>
      <x:c r="D142" s="22"/>
      <x:c r="E142" s="22"/>
      <x:c r="F142" s="22"/>
      <x:c r="G142" s="22"/>
      <x:c r="H142" s="22"/>
      <x:c r="I142" s="22"/>
      <x:c r="J142" s="22"/>
      <x:c r="K142" s="22"/>
      <x:c r="L142" s="22"/>
      <x:c r="M142" s="22" t="str">
        <x:v>Discovery append</x:v>
      </x:c>
      <x:c r="N142" s="22"/>
      <x:c r="O142" s="22"/>
      <x:c r="P142" s="22"/>
      <x:c r="Q142" s="22"/>
      <x:c r="R142" s="22"/>
    </x:row>
    <x:row r="143">
      <x:c r="A143" s="22" t="n">
        <x:v>139</x:v>
      </x:c>
      <x:c r="B143" s="22"/>
      <x:c r="C143" s="22"/>
      <x:c r="D143" s="22"/>
      <x:c r="E143" s="22"/>
      <x:c r="F143" s="22"/>
      <x:c r="G143" s="22"/>
      <x:c r="H143" s="22"/>
      <x:c r="I143" s="22"/>
      <x:c r="J143" s="22"/>
      <x:c r="K143" s="22"/>
      <x:c r="L143" s="22"/>
      <x:c r="M143" s="22" t="str">
        <x:v>Discovery append</x:v>
      </x:c>
      <x:c r="N143" s="22"/>
      <x:c r="O143" s="22"/>
      <x:c r="P143" s="22"/>
      <x:c r="Q143" s="22"/>
      <x:c r="R143" s="22"/>
    </x:row>
    <x:row r="144">
      <x:c r="A144" s="22" t="n">
        <x:v>140</x:v>
      </x:c>
      <x:c r="B144" s="22"/>
      <x:c r="C144" s="22"/>
      <x:c r="D144" s="22"/>
      <x:c r="E144" s="22"/>
      <x:c r="F144" s="22"/>
      <x:c r="G144" s="22"/>
      <x:c r="H144" s="22"/>
      <x:c r="I144" s="22"/>
      <x:c r="J144" s="22"/>
      <x:c r="K144" s="22"/>
      <x:c r="L144" s="22"/>
      <x:c r="M144" s="22" t="str">
        <x:v>Discovery append</x:v>
      </x:c>
      <x:c r="N144" s="22"/>
      <x:c r="O144" s="22"/>
      <x:c r="P144" s="22"/>
      <x:c r="Q144" s="22"/>
      <x:c r="R144" s="22"/>
    </x:row>
    <x:row r="145">
      <x:c r="A145" s="22" t="n">
        <x:v>141</x:v>
      </x:c>
      <x:c r="B145" s="22"/>
      <x:c r="C145" s="22"/>
      <x:c r="D145" s="22"/>
      <x:c r="E145" s="22"/>
      <x:c r="F145" s="22"/>
      <x:c r="G145" s="22"/>
      <x:c r="H145" s="22"/>
      <x:c r="I145" s="22"/>
      <x:c r="J145" s="22"/>
      <x:c r="K145" s="22"/>
      <x:c r="L145" s="22"/>
      <x:c r="M145" s="22" t="str">
        <x:v>Discovery append</x:v>
      </x:c>
      <x:c r="N145" s="22"/>
      <x:c r="O145" s="22"/>
      <x:c r="P145" s="22"/>
      <x:c r="Q145" s="22"/>
      <x:c r="R145" s="22"/>
    </x:row>
    <x:row r="146">
      <x:c r="A146" s="22" t="n">
        <x:v>142</x:v>
      </x:c>
      <x:c r="B146" s="22"/>
      <x:c r="C146" s="22"/>
      <x:c r="D146" s="22"/>
      <x:c r="E146" s="22"/>
      <x:c r="F146" s="22"/>
      <x:c r="G146" s="22"/>
      <x:c r="H146" s="22"/>
      <x:c r="I146" s="22"/>
      <x:c r="J146" s="22"/>
      <x:c r="K146" s="22"/>
      <x:c r="L146" s="22"/>
      <x:c r="M146" s="22" t="str">
        <x:v>Discovery append</x:v>
      </x:c>
      <x:c r="N146" s="22"/>
      <x:c r="O146" s="22"/>
      <x:c r="P146" s="22"/>
      <x:c r="Q146" s="22"/>
      <x:c r="R146" s="22"/>
    </x:row>
    <x:row r="147">
      <x:c r="A147" s="22" t="n">
        <x:v>143</x:v>
      </x:c>
      <x:c r="B147" s="22"/>
      <x:c r="C147" s="22"/>
      <x:c r="D147" s="22"/>
      <x:c r="E147" s="22"/>
      <x:c r="F147" s="22"/>
      <x:c r="G147" s="22"/>
      <x:c r="H147" s="22"/>
      <x:c r="I147" s="22"/>
      <x:c r="J147" s="22"/>
      <x:c r="K147" s="22"/>
      <x:c r="L147" s="22"/>
      <x:c r="M147" s="22" t="str">
        <x:v>Discovery append</x:v>
      </x:c>
      <x:c r="N147" s="22"/>
      <x:c r="O147" s="22"/>
      <x:c r="P147" s="22"/>
      <x:c r="Q147" s="22"/>
      <x:c r="R147" s="22"/>
    </x:row>
    <x:row r="148">
      <x:c r="A148" s="22" t="n">
        <x:v>144</x:v>
      </x:c>
      <x:c r="B148" s="22"/>
      <x:c r="C148" s="22"/>
      <x:c r="D148" s="22"/>
      <x:c r="E148" s="22"/>
      <x:c r="F148" s="22"/>
      <x:c r="G148" s="22"/>
      <x:c r="H148" s="22"/>
      <x:c r="I148" s="22"/>
      <x:c r="J148" s="22"/>
      <x:c r="K148" s="22"/>
      <x:c r="L148" s="22"/>
      <x:c r="M148" s="22" t="str">
        <x:v>Discovery append</x:v>
      </x:c>
      <x:c r="N148" s="22"/>
      <x:c r="O148" s="22"/>
      <x:c r="P148" s="22"/>
      <x:c r="Q148" s="22"/>
      <x:c r="R148" s="22"/>
    </x:row>
    <x:row r="149">
      <x:c r="A149" s="22" t="n">
        <x:v>145</x:v>
      </x:c>
      <x:c r="B149" s="22"/>
      <x:c r="C149" s="22"/>
      <x:c r="D149" s="22"/>
      <x:c r="E149" s="22"/>
      <x:c r="F149" s="22"/>
      <x:c r="G149" s="22"/>
      <x:c r="H149" s="22"/>
      <x:c r="I149" s="22"/>
      <x:c r="J149" s="22"/>
      <x:c r="K149" s="22"/>
      <x:c r="L149" s="22"/>
      <x:c r="M149" s="22" t="str">
        <x:v>Discovery append</x:v>
      </x:c>
      <x:c r="N149" s="22"/>
      <x:c r="O149" s="22"/>
      <x:c r="P149" s="22"/>
      <x:c r="Q149" s="22"/>
      <x:c r="R149" s="22"/>
    </x:row>
    <x:row r="150">
      <x:c r="A150" s="22" t="n">
        <x:v>146</x:v>
      </x:c>
      <x:c r="B150" s="22"/>
      <x:c r="C150" s="22"/>
      <x:c r="D150" s="22"/>
      <x:c r="E150" s="22"/>
      <x:c r="F150" s="22"/>
      <x:c r="G150" s="22"/>
      <x:c r="H150" s="22"/>
      <x:c r="I150" s="22"/>
      <x:c r="J150" s="22"/>
      <x:c r="K150" s="22"/>
      <x:c r="L150" s="22"/>
      <x:c r="M150" s="22" t="str">
        <x:v>Discovery append</x:v>
      </x:c>
      <x:c r="N150" s="22"/>
      <x:c r="O150" s="22"/>
      <x:c r="P150" s="22"/>
      <x:c r="Q150" s="22"/>
      <x:c r="R150" s="22"/>
    </x:row>
    <x:row r="151">
      <x:c r="A151" s="22" t="n">
        <x:v>147</x:v>
      </x:c>
      <x:c r="B151" s="22"/>
      <x:c r="C151" s="22"/>
      <x:c r="D151" s="22"/>
      <x:c r="E151" s="22"/>
      <x:c r="F151" s="22"/>
      <x:c r="G151" s="22"/>
      <x:c r="H151" s="22"/>
      <x:c r="I151" s="22"/>
      <x:c r="J151" s="22"/>
      <x:c r="K151" s="22"/>
      <x:c r="L151" s="22"/>
      <x:c r="M151" s="22" t="str">
        <x:v>Discovery append</x:v>
      </x:c>
      <x:c r="N151" s="22"/>
      <x:c r="O151" s="22"/>
      <x:c r="P151" s="22"/>
      <x:c r="Q151" s="22"/>
      <x:c r="R151" s="22"/>
    </x:row>
    <x:row r="152">
      <x:c r="A152" s="22" t="n">
        <x:v>148</x:v>
      </x:c>
      <x:c r="B152" s="22"/>
      <x:c r="C152" s="22"/>
      <x:c r="D152" s="22"/>
      <x:c r="E152" s="22"/>
      <x:c r="F152" s="22"/>
      <x:c r="G152" s="22"/>
      <x:c r="H152" s="22"/>
      <x:c r="I152" s="22"/>
      <x:c r="J152" s="22"/>
      <x:c r="K152" s="22"/>
      <x:c r="L152" s="22"/>
      <x:c r="M152" s="22" t="str">
        <x:v>Discovery append</x:v>
      </x:c>
      <x:c r="N152" s="22"/>
      <x:c r="O152" s="22"/>
      <x:c r="P152" s="22"/>
      <x:c r="Q152" s="22"/>
      <x:c r="R152" s="22"/>
    </x:row>
    <x:row r="153">
      <x:c r="A153" s="22" t="n">
        <x:v>149</x:v>
      </x:c>
      <x:c r="B153" s="22"/>
      <x:c r="C153" s="22"/>
      <x:c r="D153" s="22"/>
      <x:c r="E153" s="22"/>
      <x:c r="F153" s="22"/>
      <x:c r="G153" s="22"/>
      <x:c r="H153" s="22"/>
      <x:c r="I153" s="22"/>
      <x:c r="J153" s="22"/>
      <x:c r="K153" s="22"/>
      <x:c r="L153" s="22"/>
      <x:c r="M153" s="22" t="str">
        <x:v>Discovery append</x:v>
      </x:c>
      <x:c r="N153" s="22"/>
      <x:c r="O153" s="22"/>
      <x:c r="P153" s="22"/>
      <x:c r="Q153" s="22"/>
      <x:c r="R153" s="22"/>
    </x:row>
    <x:row r="154">
      <x:c r="A154" s="22" t="n">
        <x:v>150</x:v>
      </x:c>
      <x:c r="B154" s="22"/>
      <x:c r="C154" s="22"/>
      <x:c r="D154" s="22"/>
      <x:c r="E154" s="22"/>
      <x:c r="F154" s="22"/>
      <x:c r="G154" s="22"/>
      <x:c r="H154" s="22"/>
      <x:c r="I154" s="22"/>
      <x:c r="J154" s="22"/>
      <x:c r="K154" s="22"/>
      <x:c r="L154" s="22"/>
      <x:c r="M154" s="22" t="str">
        <x:v>Discovery append</x:v>
      </x:c>
      <x:c r="N154" s="22"/>
      <x:c r="O154" s="22"/>
      <x:c r="P154" s="22"/>
      <x:c r="Q154" s="22"/>
      <x:c r="R154" s="22"/>
    </x:row>
    <x:row r="155">
      <x:c r="A155" s="22" t="n">
        <x:v>151</x:v>
      </x:c>
      <x:c r="B155" s="22"/>
      <x:c r="C155" s="22"/>
      <x:c r="D155" s="22"/>
      <x:c r="E155" s="22"/>
      <x:c r="F155" s="22"/>
      <x:c r="G155" s="22"/>
      <x:c r="H155" s="22"/>
      <x:c r="I155" s="22"/>
      <x:c r="J155" s="22"/>
      <x:c r="K155" s="22"/>
      <x:c r="L155" s="22"/>
      <x:c r="M155" s="22" t="str">
        <x:v>Discovery append</x:v>
      </x:c>
      <x:c r="N155" s="22"/>
      <x:c r="O155" s="22"/>
      <x:c r="P155" s="22"/>
      <x:c r="Q155" s="22"/>
      <x:c r="R155" s="22"/>
    </x:row>
    <x:row r="156">
      <x:c r="A156" s="22" t="n">
        <x:v>152</x:v>
      </x:c>
      <x:c r="B156" s="22"/>
      <x:c r="C156" s="22"/>
      <x:c r="D156" s="22"/>
      <x:c r="E156" s="22"/>
      <x:c r="F156" s="22"/>
      <x:c r="G156" s="22"/>
      <x:c r="H156" s="22"/>
      <x:c r="I156" s="22"/>
      <x:c r="J156" s="22"/>
      <x:c r="K156" s="22"/>
      <x:c r="L156" s="22"/>
      <x:c r="M156" s="22" t="str">
        <x:v>Discovery append</x:v>
      </x:c>
      <x:c r="N156" s="22"/>
      <x:c r="O156" s="22"/>
      <x:c r="P156" s="22"/>
      <x:c r="Q156" s="22"/>
      <x:c r="R156" s="22"/>
    </x:row>
    <x:row r="157">
      <x:c r="A157" s="22" t="n">
        <x:v>153</x:v>
      </x:c>
      <x:c r="B157" s="22"/>
      <x:c r="C157" s="22"/>
      <x:c r="D157" s="22"/>
      <x:c r="E157" s="22"/>
      <x:c r="F157" s="22"/>
      <x:c r="G157" s="22"/>
      <x:c r="H157" s="22"/>
      <x:c r="I157" s="22"/>
      <x:c r="J157" s="22"/>
      <x:c r="K157" s="22"/>
      <x:c r="L157" s="22"/>
      <x:c r="M157" s="22" t="str">
        <x:v>Discovery append</x:v>
      </x:c>
      <x:c r="N157" s="22"/>
      <x:c r="O157" s="22"/>
      <x:c r="P157" s="22"/>
      <x:c r="Q157" s="22"/>
      <x:c r="R157" s="22"/>
    </x:row>
    <x:row r="158">
      <x:c r="A158" s="22" t="n">
        <x:v>154</x:v>
      </x:c>
      <x:c r="B158" s="22"/>
      <x:c r="C158" s="22"/>
      <x:c r="D158" s="22"/>
      <x:c r="E158" s="22"/>
      <x:c r="F158" s="22"/>
      <x:c r="G158" s="22"/>
      <x:c r="H158" s="22"/>
      <x:c r="I158" s="22"/>
      <x:c r="J158" s="22"/>
      <x:c r="K158" s="22"/>
      <x:c r="L158" s="22"/>
      <x:c r="M158" s="22" t="str">
        <x:v>Discovery append</x:v>
      </x:c>
      <x:c r="N158" s="22"/>
      <x:c r="O158" s="22"/>
      <x:c r="P158" s="22"/>
      <x:c r="Q158" s="22"/>
      <x:c r="R158" s="22"/>
    </x:row>
    <x:row r="159">
      <x:c r="A159" s="22" t="n">
        <x:v>155</x:v>
      </x:c>
      <x:c r="B159" s="22"/>
      <x:c r="C159" s="22"/>
      <x:c r="D159" s="22"/>
      <x:c r="E159" s="22"/>
      <x:c r="F159" s="22"/>
      <x:c r="G159" s="22"/>
      <x:c r="H159" s="22"/>
      <x:c r="I159" s="22"/>
      <x:c r="J159" s="22"/>
      <x:c r="K159" s="22"/>
      <x:c r="L159" s="22"/>
      <x:c r="M159" s="22" t="str">
        <x:v>Discovery append</x:v>
      </x:c>
      <x:c r="N159" s="22"/>
      <x:c r="O159" s="22"/>
      <x:c r="P159" s="22"/>
      <x:c r="Q159" s="22"/>
      <x:c r="R159" s="22"/>
    </x:row>
    <x:row r="160">
      <x:c r="A160" s="22" t="n">
        <x:v>156</x:v>
      </x:c>
      <x:c r="B160" s="22"/>
      <x:c r="C160" s="22"/>
      <x:c r="D160" s="22"/>
      <x:c r="E160" s="22"/>
      <x:c r="F160" s="22"/>
      <x:c r="G160" s="22"/>
      <x:c r="H160" s="22"/>
      <x:c r="I160" s="22"/>
      <x:c r="J160" s="22"/>
      <x:c r="K160" s="22"/>
      <x:c r="L160" s="22"/>
      <x:c r="M160" s="22" t="str">
        <x:v>Discovery append</x:v>
      </x:c>
      <x:c r="N160" s="22"/>
      <x:c r="O160" s="22"/>
      <x:c r="P160" s="22"/>
      <x:c r="Q160" s="22"/>
      <x:c r="R160" s="22"/>
    </x:row>
    <x:row r="161">
      <x:c r="A161" s="22" t="n">
        <x:v>157</x:v>
      </x:c>
      <x:c r="B161" s="22"/>
      <x:c r="C161" s="22"/>
      <x:c r="D161" s="22"/>
      <x:c r="E161" s="22"/>
      <x:c r="F161" s="22"/>
      <x:c r="G161" s="22"/>
      <x:c r="H161" s="22"/>
      <x:c r="I161" s="22"/>
      <x:c r="J161" s="22"/>
      <x:c r="K161" s="22"/>
      <x:c r="L161" s="22"/>
      <x:c r="M161" s="22" t="str">
        <x:v>Discovery append</x:v>
      </x:c>
      <x:c r="N161" s="22"/>
      <x:c r="O161" s="22"/>
      <x:c r="P161" s="22"/>
      <x:c r="Q161" s="22"/>
      <x:c r="R161" s="22"/>
    </x:row>
    <x:row r="162">
      <x:c r="A162" s="22" t="n">
        <x:v>158</x:v>
      </x:c>
      <x:c r="B162" s="22"/>
      <x:c r="C162" s="22"/>
      <x:c r="D162" s="22"/>
      <x:c r="E162" s="22"/>
      <x:c r="F162" s="22"/>
      <x:c r="G162" s="22"/>
      <x:c r="H162" s="22"/>
      <x:c r="I162" s="22"/>
      <x:c r="J162" s="22"/>
      <x:c r="K162" s="22"/>
      <x:c r="L162" s="22"/>
      <x:c r="M162" s="22" t="str">
        <x:v>Discovery append</x:v>
      </x:c>
      <x:c r="N162" s="22"/>
      <x:c r="O162" s="22"/>
      <x:c r="P162" s="22"/>
      <x:c r="Q162" s="22"/>
      <x:c r="R162" s="22"/>
    </x:row>
    <x:row r="163">
      <x:c r="A163" s="22" t="n">
        <x:v>159</x:v>
      </x:c>
      <x:c r="B163" s="22"/>
      <x:c r="C163" s="22"/>
      <x:c r="D163" s="22"/>
      <x:c r="E163" s="22"/>
      <x:c r="F163" s="22"/>
      <x:c r="G163" s="22"/>
      <x:c r="H163" s="22"/>
      <x:c r="I163" s="22"/>
      <x:c r="J163" s="22"/>
      <x:c r="K163" s="22"/>
      <x:c r="L163" s="22"/>
      <x:c r="M163" s="22" t="str">
        <x:v>Discovery append</x:v>
      </x:c>
      <x:c r="N163" s="22"/>
      <x:c r="O163" s="22"/>
      <x:c r="P163" s="22"/>
      <x:c r="Q163" s="22"/>
      <x:c r="R163" s="22"/>
    </x:row>
    <x:row r="164">
      <x:c r="A164" s="22" t="n">
        <x:v>160</x:v>
      </x:c>
      <x:c r="B164" s="22"/>
      <x:c r="C164" s="22"/>
      <x:c r="D164" s="22"/>
      <x:c r="E164" s="22"/>
      <x:c r="F164" s="22"/>
      <x:c r="G164" s="22"/>
      <x:c r="H164" s="22"/>
      <x:c r="I164" s="22"/>
      <x:c r="J164" s="22"/>
      <x:c r="K164" s="22"/>
      <x:c r="L164" s="22"/>
      <x:c r="M164" s="22" t="str">
        <x:v>Discovery append</x:v>
      </x:c>
      <x:c r="N164" s="22"/>
      <x:c r="O164" s="22"/>
      <x:c r="P164" s="22"/>
      <x:c r="Q164" s="22"/>
      <x:c r="R164" s="22"/>
    </x:row>
  </x:sheetData>
  <x:mergeCells>
    <x:mergeCell ref="A1:R1"/>
    <x:mergeCell ref="A2:R2"/>
  </x:mergeCells>
  <x:conditionalFormatting sqref="L5:L164">
    <x:cfRule type="expression" dxfId="9" priority="1">
      <x:formula>L5="Ready"</x:formula>
    </x:cfRule>
    <x:cfRule type="expression" dxfId="10" priority="2">
      <x:formula>L5="Research"</x:formula>
    </x:cfRule>
    <x:cfRule type="expression" dxfId="11" priority="3">
      <x:formula>L5="In progress"</x:formula>
    </x:cfRule>
    <x:cfRule type="expression" dxfId="12" priority="4">
      <x:formula>L5="Done"</x:formula>
    </x:cfRule>
    <x:cfRule type="expression" dxfId="13" priority="5">
      <x:formula>L5="Blocked"</x:formula>
    </x:cfRule>
  </x:conditionalFormatting>
  <x:dataValidations count="2">
    <x:dataValidation type="list" sqref="L5:L164">
      <x:formula1>"Ready,Research,In progress,Done,Blocked,Merge into parent,Skip"</x:formula1>
    </x:dataValidation>
    <x:dataValidation type="list" sqref="K5:K164">
      <x:formula1>"P0,P1,P2,P3"</x:formula1>
    </x:dataValidation>
  </x:dataValidations>
  <x:pageMargins left="0.7" right="0.7" top="0.75" bottom="0.75" header="0.3" footer="0.3"/>
  <x:tableParts count="1">
    <x:tablePart xmlns:r="http://schemas.openxmlformats.org/officeDocument/2006/relationships" r:id="R2e8dda9420334fe9"/>
  </x:tableParts>
</x:worksheet>
</file>

<file path=xl/worksheets/sheet15.xml><?xml version="1.0" encoding="utf-8"?>
<x:worksheet xmlns:x="http://schemas.openxmlformats.org/spreadsheetml/2006/main">
  <x:sheetFormatPr defaultRowHeight="15"/>
  <x:cols>
    <x:col min="1" max="1" width="28" hidden="0" customWidth="1"/>
    <x:col min="2" max="2" width="55" hidden="0" customWidth="1"/>
    <x:col min="3" max="3" width="18" hidden="0" customWidth="1"/>
    <x:col min="4" max="4" width="18" hidden="0" customWidth="1"/>
    <x:col min="5" max="5" width="18" hidden="0" customWidth="1"/>
    <x:col min="6" max="6" width="18" hidden="0" customWidth="1"/>
  </x:cols>
  <x:sheetData>
    <x:row r="1">
      <x:c r="A1" s="58" t="str">
        <x:v>NEXT ACTION – AUTO SELECTOR</x:v>
      </x:c>
      <x:c r="B1" s="58"/>
      <x:c r="C1" s="58"/>
      <x:c r="D1" s="58"/>
      <x:c r="E1" s="58"/>
      <x:c r="F1" s="58"/>
    </x:row>
    <x:row r="3">
      <x:c r="A3" s="64" t="str">
        <x:v>Field</x:v>
      </x:c>
      <x:c r="B3" s="64" t="str">
        <x:v>Value</x:v>
      </x:c>
    </x:row>
    <x:row r="4">
      <x:c r="A4" t="str">
        <x:v>Command</x:v>
      </x:c>
      <x:c r="B4" t="str">
        <x:v>Bắt đầu tạo bài mới Home Credit</x:v>
      </x:c>
    </x:row>
    <x:row r="5">
      <x:c r="A5" t="str">
        <x:v>Next Queue #</x:v>
      </x:c>
      <x:c xmlns:x="http://schemas.openxmlformats.org/spreadsheetml/2006/main" r="B5" t="n">
        <x:f>IFERROR(INDEX('Evergreen Queue'!$A$5:$A$164,MATCH("Ready",'Evergreen Queue'!$L$5:$L$164,0)),"DISCOVERY")</x:f>
        <x:v>3</x:v>
      </x:c>
    </x:row>
    <x:row r="6">
      <x:c r="A6" t="str">
        <x:v>Next Asset ID</x:v>
      </x:c>
      <x:c xmlns:x="http://schemas.openxmlformats.org/spreadsheetml/2006/main" r="B6" t="str">
        <x:f>IF(B5="DISCOVERY","DISCOVERY",INDEX('Evergreen Queue'!$B$5:$B$164,MATCH("Ready",'Evergreen Queue'!$L$5:$L$164,0)))</x:f>
        <x:v>L-RATE</x:v>
      </x:c>
    </x:row>
    <x:row r="7">
      <x:c r="A7" t="str">
        <x:v>Topic / Task</x:v>
      </x:c>
      <x:c xmlns:x="http://schemas.openxmlformats.org/spreadsheetml/2006/main" r="B7" t="str">
        <x:f>IF(B5="DISCOVERY","Run Discovery Mode",INDEX('Evergreen Queue'!$C$5:$C$164,MATCH("Ready",'Evergreen Queue'!$L$5:$L$164,0)))</x:f>
        <x:v>Lãi suất vay tiền mặt Home Credit: cách đọc</x:v>
      </x:c>
    </x:row>
    <x:row r="8">
      <x:c r="A8" t="str">
        <x:v>Product</x:v>
      </x:c>
      <x:c xmlns:x="http://schemas.openxmlformats.org/spreadsheetml/2006/main" r="B8" t="str">
        <x:f>IF(B5="DISCOVERY","All",INDEX('Evergreen Queue'!$D$5:$D$164,MATCH("Ready",'Evergreen Queue'!$L$5:$L$164,0)))</x:f>
        <x:v>Cash Loan</x:v>
      </x:c>
    </x:row>
    <x:row r="9">
      <x:c r="A9" t="str">
        <x:v>Work mode</x:v>
      </x:c>
      <x:c xmlns:x="http://schemas.openxmlformats.org/spreadsheetml/2006/main" r="B9" t="str">
        <x:f>IF(B5="DISCOVERY","Research",INDEX('Evergreen Queue'!$F$5:$F$164,MATCH("Ready",'Evergreen Queue'!$L$5:$L$164,0)))</x:f>
        <x:v>New article</x:v>
      </x:c>
    </x:row>
    <x:row r="10">
      <x:c r="A10" t="str">
        <x:v>Canonical / Parent</x:v>
      </x:c>
      <x:c xmlns:x="http://schemas.openxmlformats.org/spreadsheetml/2006/main" r="B10" t="str">
        <x:f>IF(B5="DISCOVERY","Evergreen Queue",INDEX('Evergreen Queue'!$H$5:$H$164,MATCH("Ready",'Evergreen Queue'!$L$5:$L$164,0)))</x:f>
        <x:v>Pillar L</x:v>
      </x:c>
    </x:row>
    <x:row r="11">
      <x:c r="A11" t="str">
        <x:v>Priority</x:v>
      </x:c>
      <x:c xmlns:x="http://schemas.openxmlformats.org/spreadsheetml/2006/main" r="B11" t="str">
        <x:f>IF(B5="DISCOVERY","P0",INDEX('Evergreen Queue'!$K$5:$K$164,MATCH("Ready",'Evergreen Queue'!$L$5:$L$164,0)))</x:f>
        <x:v>P0</x:v>
      </x:c>
    </x:row>
    <x:row r="12">
      <x:c r="A12" t="str">
        <x:v>Status</x:v>
      </x:c>
      <x:c r="B12" t="str">
        <x:v>READY TO RUN</x:v>
      </x:c>
    </x:row>
    <x:row r="14">
      <x:c r="A14" s="67" t="str">
        <x:v>What Codex does when the command is received</x:v>
      </x:c>
      <x:c r="B14" s="67"/>
      <x:c r="C14" s="67"/>
      <x:c r="D14" s="67"/>
      <x:c r="E14" s="67"/>
      <x:c r="F14" s="67"/>
    </x:row>
    <x:row r="15">
      <x:c r="A15" s="22" t="str">
        <x:v>1) Read this sheet. 2) If Asset ID is not DISCOVERY, mark the corresponding queue row In progress and execute it. 3) Validate source/canonical/URL decision. 4) Implement with existing UI. 5) Run quality checks. 6) Commit/push/deploy using existing workflow when authorized. 7) Verify production. 8) Mark queue Done and append Run Log. 9) Stop after one content run unless the user explicitly asks for more. If Asset ID = DISCOVERY, research 3–5 candidates, score them using Discovery Rules, append qualified candidates to Evergreen Queue, set the best one Ready, then execute that one.</x:v>
      </x:c>
      <x:c r="B15" s="22"/>
      <x:c r="C15" s="22"/>
      <x:c r="D15" s="22"/>
      <x:c r="E15" s="22"/>
      <x:c r="F15" s="22"/>
    </x:row>
    <x:row r="16">
      <x:c r="A16" s="22"/>
      <x:c r="B16" s="22"/>
      <x:c r="C16" s="22"/>
      <x:c r="D16" s="22"/>
      <x:c r="E16" s="22"/>
      <x:c r="F16" s="22"/>
    </x:row>
    <x:row r="17">
      <x:c r="A17" s="22"/>
      <x:c r="B17" s="22"/>
      <x:c r="C17" s="22"/>
      <x:c r="D17" s="22"/>
      <x:c r="E17" s="22"/>
      <x:c r="F17" s="22"/>
    </x:row>
    <x:row r="18">
      <x:c r="A18" s="22"/>
      <x:c r="B18" s="22"/>
      <x:c r="C18" s="22"/>
      <x:c r="D18" s="22"/>
      <x:c r="E18" s="22"/>
      <x:c r="F18" s="22"/>
    </x:row>
    <x:row r="19">
      <x:c r="A19" s="22"/>
      <x:c r="B19" s="22"/>
      <x:c r="C19" s="22"/>
      <x:c r="D19" s="22"/>
      <x:c r="E19" s="22"/>
      <x:c r="F19" s="22"/>
    </x:row>
    <x:row r="20">
      <x:c r="A20" s="22"/>
      <x:c r="B20" s="22"/>
      <x:c r="C20" s="22"/>
      <x:c r="D20" s="22"/>
      <x:c r="E20" s="22"/>
      <x:c r="F20" s="22"/>
    </x:row>
    <x:row r="21">
      <x:c r="A21" s="22"/>
      <x:c r="B21" s="22"/>
      <x:c r="C21" s="22"/>
      <x:c r="D21" s="22"/>
      <x:c r="E21" s="22"/>
      <x:c r="F21" s="22"/>
    </x:row>
    <x:row r="22">
      <x:c r="A22" s="22"/>
      <x:c r="B22" s="22"/>
      <x:c r="C22" s="22"/>
      <x:c r="D22" s="22"/>
      <x:c r="E22" s="22"/>
      <x:c r="F22" s="22"/>
    </x:row>
  </x:sheetData>
  <x:mergeCells>
    <x:mergeCell ref="A1:F1"/>
    <x:mergeCell ref="A14:F14"/>
    <x:mergeCell ref="A15:F22"/>
  </x:mergeCells>
  <x:pageMargins left="0.7" right="0.7" top="0.75" bottom="0.75" header="0.3" footer="0.3"/>
</x:worksheet>
</file>

<file path=xl/worksheets/sheet1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hidden="0" customWidth="1"/>
    <x:col min="2" max="2" width="18" hidden="0" customWidth="1"/>
    <x:col min="3" max="3" width="18" hidden="0" customWidth="1"/>
    <x:col min="4" max="4" width="9" hidden="0" customWidth="1"/>
    <x:col min="5" max="5" width="16" hidden="0" customWidth="1"/>
    <x:col min="6" max="6" width="42" hidden="0" customWidth="1"/>
    <x:col min="7" max="7" width="28" hidden="0" customWidth="1"/>
    <x:col min="8" max="8" width="42" hidden="0" customWidth="1"/>
    <x:col min="9" max="9" width="42" hidden="0" customWidth="1"/>
    <x:col min="10" max="10" width="36" hidden="0" customWidth="1"/>
    <x:col min="11" max="11" width="30" hidden="0" customWidth="1"/>
    <x:col min="12" max="12" width="18" hidden="0" customWidth="1"/>
    <x:col min="13" max="13" width="14" hidden="0" customWidth="1"/>
    <x:col min="14" max="14" width="18" hidden="0" customWidth="1"/>
    <x:col min="15" max="15" width="26" hidden="0" customWidth="1"/>
    <x:col min="16" max="16" width="14" hidden="0" customWidth="1"/>
    <x:col min="17" max="17" width="42" hidden="0" customWidth="1"/>
  </x:cols>
  <x:sheetData>
    <x:row r="1">
      <x:c r="A1" s="58" t="str">
        <x:v>HOME CREDIT CONTENT ENGINE – RUN LOG</x:v>
      </x:c>
      <x:c r="B1" s="58"/>
      <x:c r="C1" s="58"/>
      <x:c r="D1" s="58"/>
      <x:c r="E1" s="58"/>
      <x:c r="F1" s="58"/>
      <x:c r="G1" s="58"/>
      <x:c r="H1" s="58"/>
      <x:c r="I1" s="58"/>
      <x:c r="J1" s="58"/>
      <x:c r="K1" s="58"/>
      <x:c r="L1" s="58"/>
      <x:c r="M1" s="58"/>
      <x:c r="N1" s="58"/>
      <x:c r="O1" s="58"/>
      <x:c r="P1" s="58"/>
      <x:c r="Q1" s="58"/>
    </x:row>
    <x:row r="3">
      <x:c r="A3" s="64" t="str">
        <x:v>Run #</x:v>
      </x:c>
      <x:c r="B3" s="64" t="str">
        <x:v>Started</x:v>
      </x:c>
      <x:c r="C3" s="64" t="str">
        <x:v>Completed</x:v>
      </x:c>
      <x:c r="D3" s="64" t="str">
        <x:v>Queue #</x:v>
      </x:c>
      <x:c r="E3" s="64" t="str">
        <x:v>Asset ID</x:v>
      </x:c>
      <x:c r="F3" s="64" t="str">
        <x:v>Topic</x:v>
      </x:c>
      <x:c r="G3" s="64" t="str">
        <x:v>Decision</x:v>
      </x:c>
      <x:c r="H3" s="64" t="str">
        <x:v>Route</x:v>
      </x:c>
      <x:c r="I3" s="64" t="str">
        <x:v>Sources checked</x:v>
      </x:c>
      <x:c r="J3" s="64" t="str">
        <x:v>Files changed</x:v>
      </x:c>
      <x:c r="K3" s="64" t="str">
        <x:v>Checks</x:v>
      </x:c>
      <x:c r="L3" s="64" t="str">
        <x:v>Commit</x:v>
      </x:c>
      <x:c r="M3" s="64" t="str">
        <x:v>Push</x:v>
      </x:c>
      <x:c r="N3" s="64" t="str">
        <x:v>Deploy</x:v>
      </x:c>
      <x:c r="O3" s="64" t="str">
        <x:v>Production verify</x:v>
      </x:c>
      <x:c r="P3" s="64" t="str">
        <x:v>Result</x:v>
      </x:c>
      <x:c r="Q3" s="64" t="str">
        <x:v>Notes</x:v>
      </x:c>
    </x:row>
    <x:row r="4">
      <x:c r="A4" s="22" t="n">
        <x:v>1</x:v>
      </x:c>
      <x:c xmlns:x="http://schemas.openxmlformats.org/spreadsheetml/2006/main" r="B4" s="22" t="str">
        <x:v>2026-10-28</x:v>
      </x:c>
      <x:c xmlns:x="http://schemas.openxmlformats.org/spreadsheetml/2006/main" r="C4" s="22" t="str">
        <x:v>2026-10-28</x:v>
      </x:c>
      <x:c xmlns:x="http://schemas.openxmlformats.org/spreadsheetml/2006/main" r="D4" s="22" t="n">
        <x:v>1</x:v>
      </x:c>
      <x:c xmlns:x="http://schemas.openxmlformats.org/spreadsheetml/2006/main" r="E4" s="22" t="str">
        <x:v>L-PILLAR</x:v>
      </x:c>
      <x:c xmlns:x="http://schemas.openxmlformats.org/spreadsheetml/2006/main" r="F4" s="22" t="str">
        <x:v>Update: Vay tiền mặt Home Credit online</x:v>
      </x:c>
      <x:c xmlns:x="http://schemas.openxmlformats.org/spreadsheetml/2006/main" r="G4" s="22" t="str">
        <x:v>Update existing. Preserve canonical URL, UI and approved app referral.</x:v>
      </x:c>
      <x:c xmlns:x="http://schemas.openxmlformats.org/spreadsheetml/2006/main" r="H4" s="22" t="str">
        <x:v>https://1phutdangky.com/vay-tien-mat/vay-tien-mat-home-credit-online/</x:v>
      </x:c>
      <x:c xmlns:x="http://schemas.openxmlformats.org/spreadsheetml/2006/main" r="I4" s="22" t="str">
        <x:v>2026-10-28: https://dangky.homecredit.vn/vay-tien; https://www.homecredit.vn/vay-tien-online-nhanh; https://www.homecredit.vn/faq/vay-tien-mat; https://www.homecredit.vn/blog/cap-nhat-hop-dong-cho-vay-tien-mat; https://www.homecredit.vn/blog/huong-dan-dang-ky-vay-qua-ung-dung-clx-ug; https://www.homecredit.vn/faq/hop-dong-vay; https://www.homecredit.vn/faq/quy-trinh-tham-dinh; https://www.homecredit.vn/lien-he; FAQ-linked loan-rate PDF effective 2026-07-21; approved deeplink; AASA and assetlinks; Apple TN3155 and Android App Links docs.</x:v>
      </x:c>
      <x:c xmlns:x="http://schemas.openxmlformats.org/spreadsheetml/2006/main" r="J4" s="22" t="str">
        <x:v>docs/content/1phutdangky_Home_Credit_Evergreen_Content_Engine.xlsx only</x:v>
      </x:c>
      <x:c xmlns:x="http://schemas.openxmlformats.org/spreadsheetml/2006/main" r="K4" s="22" t="str">
        <x:v>Canonical/update decision passed. Product/source research completed. CTA gate BLOCKED: GET and HEAD 404, iPhone/Android user agents GET 404; /home without query 404; association endpoints 200. No app/store redirect observed. Device-level handoff untested. npm run check PASS: 20 HTML, 18 sitemap URLs; build, Pagefind and validator. No standalone lint/typecheck/test scripts. Workbook recalculation, scope/native-feature checks and git diff --check performed before state commit.</x:v>
      </x:c>
      <x:c xmlns:x="http://schemas.openxmlformats.org/spreadsheetml/2006/main" r="L4" s="22" t="str">
        <x:v>No content commit: blocked before implementation</x:v>
      </x:c>
      <x:c xmlns:x="http://schemas.openxmlformats.org/spreadsheetml/2006/main" r="M4" s="22" t="str">
        <x:v>No content push: blocked before implementation; workbook state saved through normal Git workflow</x:v>
      </x:c>
      <x:c xmlns:x="http://schemas.openxmlformats.org/spreadsheetml/2006/main" r="N4" s="22" t="str">
        <x:v>No manual deploy or configuration changes; existing automatic workflow preserved</x:v>
      </x:c>
      <x:c xmlns:x="http://schemas.openxmlformats.org/spreadsheetml/2006/main" r="O4" s="22" t="str">
        <x:v>Not performed: no content release</x:v>
      </x:c>
      <x:c xmlns:x="http://schemas.openxmlformats.org/spreadsheetml/2006/main" r="P4" s="22" t="str">
        <x:v>Blocked</x:v>
      </x:c>
      <x:c xmlns:x="http://schemas.openxmlformats.org/spreadsheetml/2006/main" r="Q4" s="22" t="str">
        <x:v>Required to resume: verify the exact approved URL on a real device with/without the app, or obtain an owner-approved replacement that preserves support-code attribution. Do not infer installed-app failure from HTTP 404. No source-backed article draft or product data changes published. Next selector advances to C-PILLAR, but this invocation stops after this one run.</x:v>
      </x:c>
    </x:row>
    <x:row r="5">
      <x:c r="A5" s="22" t="n">
        <x:v>2</x:v>
      </x:c>
      <x:c xmlns:x="http://schemas.openxmlformats.org/spreadsheetml/2006/main" r="B5" s="22" t="str">
        <x:v>2026-10-28</x:v>
      </x:c>
      <x:c xmlns:x="http://schemas.openxmlformats.org/spreadsheetml/2006/main" r="C5" s="22" t="str">
        <x:v>2026-10-28</x:v>
      </x:c>
      <x:c xmlns:x="http://schemas.openxmlformats.org/spreadsheetml/2006/main" r="D5" s="22" t="n">
        <x:v>1</x:v>
      </x:c>
      <x:c xmlns:x="http://schemas.openxmlformats.org/spreadsheetml/2006/main" r="E5" s="22" t="str">
        <x:v>L-PILLAR</x:v>
      </x:c>
      <x:c xmlns:x="http://schemas.openxmlformats.org/spreadsheetml/2006/main" r="F5" s="22" t="str">
        <x:v>Update: Vay tiền mặt Home Credit online</x:v>
      </x:c>
      <x:c xmlns:x="http://schemas.openxmlformats.org/spreadsheetml/2006/main" r="G5" s="22" t="str">
        <x:v>Resume blocked L-PILLAR at owner request; keep URL and UI. Replace app link throughout runtime product/article and complete brief.</x:v>
      </x:c>
      <x:c xmlns:x="http://schemas.openxmlformats.org/spreadsheetml/2006/main" r="H5" s="22" t="str">
        <x:v>https://1phutdangky.com/vay-tien-mat/vay-tien-mat-home-credit-online/</x:v>
      </x:c>
      <x:c xmlns:x="http://schemas.openxmlformats.org/spreadsheetml/2006/main" r="I5" s="22" t="str">
        <x:v>S1/S2/S3/S4/S5 checked 2026-10-28; official app page https://www.homecredit.vn/ung-dung-home-credit; app-flow guide; FAQ-linked loan-rate PDF effective 2026-07-21; contact page. All nine article sources HTTP 200. Published OneLink https://hcv.onelink.me/ausQ/n7wk7jg0: iOS store redirect and Android package vn.homecredit.capp. Owner confirmed link works and app always has support-code field.</x:v>
      </x:c>
      <x:c xmlns:x="http://schemas.openxmlformats.org/spreadsheetml/2006/main" r="J5" s="22" t="str">
        <x:v>src/content/articles/vay-tien-mat/vay-tien-mat-home-credit-online.mdx; src/data/products/loans/home-credit-cash-loan.json; src/components/commercial/ProductCard.astro; docs/content/1phutdangky_Home_Credit_Evergreen_Content_Engine.xlsx</x:v>
      </x:c>
      <x:c xmlns:x="http://schemas.openxmlformats.org/spreadsheetml/2006/main" r="K5" s="22" t="str">
        <x:v>PASS npm run check: build, Pagefind, validator (20 HTML, 18 sitemap URLs). PASS git diff --check. Local Chrome QA: 375/390/768/1440, light/dark, canonical/indexability/JSON-LD, three CTAs, referral-code clipboard, consent denied/granted event gating, no horizontal overflow or page errors. No standalone lint/typecheck/test scripts. Workbook selector recalculated and native features preserved.</x:v>
      </x:c>
      <x:c xmlns:x="http://schemas.openxmlformats.org/spreadsheetml/2006/main" r="L5" s="22" t="str">
        <x:v>50f56521c5afae1afc102cbc694d1fd6b68619b2</x:v>
      </x:c>
      <x:c xmlns:x="http://schemas.openxmlformats.org/spreadsheetml/2006/main" r="M5" s="22" t="str">
        <x:v>Content commit pushed to origin/main; GitHub SHA verified</x:v>
      </x:c>
      <x:c xmlns:x="http://schemas.openxmlformats.org/spreadsheetml/2006/main" r="N5" s="22" t="str">
        <x:v>Cloudflare Pages check SUCCESS; deployment fcfa3d65-3191-4ac5-8d28-8498798a6986 via existing Git integration</x:v>
      </x:c>
      <x:c xmlns:x="http://schemas.openxmlformats.org/spreadsheetml/2006/main" r="O5" s="22" t="str">
        <x:v>PASS production HTTP 200; 3 exact OneLink CTAs, support code, canonical, title/meta/schema/sitemap; responsive light/dark and consent-aware event/copy checks repeated</x:v>
      </x:c>
      <x:c xmlns:x="http://schemas.openxmlformats.org/spreadsheetml/2006/main" r="P5" s="22" t="str">
        <x:v>Done</x:v>
      </x:c>
      <x:c xmlns:x="http://schemas.openxmlformats.org/spreadsheetml/2006/main" r="Q5" s="22" t="str">
        <x:v>Resume run 1 as run 2, not C-PILLAR. Keep original blocked history. Retain owner-approved short title and add no links to unpublished support/card routes. One content cycle only.</x:v>
      </x:c>
    </x:row>
    <x:row r="6">
      <x:c r="A6" s="22" t="n">
        <x:v>3</x:v>
      </x:c>
      <x:c xmlns:x="http://schemas.openxmlformats.org/spreadsheetml/2006/main" r="B6" s="22" t="str">
        <x:v>2026-10-29</x:v>
      </x:c>
      <x:c xmlns:x="http://schemas.openxmlformats.org/spreadsheetml/2006/main" r="C6" s="22"/>
      <x:c xmlns:x="http://schemas.openxmlformats.org/spreadsheetml/2006/main" r="D6" s="22" t="n">
        <x:v>2</x:v>
      </x:c>
      <x:c xmlns:x="http://schemas.openxmlformats.org/spreadsheetml/2006/main" r="E6" s="22" t="str">
        <x:v>C-PILLAR</x:v>
      </x:c>
      <x:c xmlns:x="http://schemas.openxmlformats.org/spreadsheetml/2006/main" r="F6" s="22" t="str">
        <x:v>Publish: Mở thẻ tín dụng Home Credit online</x:v>
      </x:c>
      <x:c xmlns:x="http://schemas.openxmlformats.org/spreadsheetml/2006/main" r="G6" s="22" t="str">
        <x:v>New standalone card owner; first eligible Ready (actual Queue2, worksheet row6). Cash-loan owner retained. Verify S6/S7/S8 and approved app CTA before implementation.</x:v>
      </x:c>
      <x:c xmlns:x="http://schemas.openxmlformats.org/spreadsheetml/2006/main" r="H6" s="22" t="str">
        <x:v>https://1phutdangky.com/the-tin-dung/mo-the-tin-dung-home-credit-online/</x:v>
      </x:c>
      <x:c xmlns:x="http://schemas.openxmlformats.org/spreadsheetml/2006/main" r="I6" s="22" t="str">
        <x:v>2026-10-29 S6 official cardpage(updated12Oct2026), S7 cardFAQ, S8 contractlookup: latest linked tariff04Sep2026, cardTnC16Jul2026 and installmentTnC04Sep2026. Tariff2pages visually checked:4cardtypes, standard39k managementfee exception3M/5tx,49.5%annualinterest; onlinecard noATM, minimum formula includes installment/pastdue, latefee0.12%/day min150k/max1M collection5/35/65days. CardTnC5.1/5.2/5.4 for grace/fullpayment, cashinterestfromposting and unpaid-minimumlatefee. All7articlesourceURLsHTTP200. Approved generic OneLink iPhone301 to itms-appss AppStoreid1553761073; Android200app/storedispatcher. Nativeinstalled-app handoff and card attribution not claimed. Owner-supplied appstaffcodefield/code preserved.</x:v>
      </x:c>
      <x:c xmlns:x="http://schemas.openxmlformats.org/spreadsheetml/2006/main" r="J6" s="22" t="str">
        <x:v>src/content/articles/the-tin-dung/mo-the-tin-dung-home-credit-online.mdx; src/data/products/credit-cards/home-credit-credit-card.json; src/content/articles/vay-tien-mat/vay-tien-mat-home-credit-online.mdx; docs/content/1phutdangky_Home_Credit_Evergreen_Content_Engine.xlsx. Social images generated by existing build endpoint; no separate cover.</x:v>
      </x:c>
      <x:c xmlns:x="http://schemas.openxmlformats.org/spreadsheetml/2006/main" r="K6" s="22" t="str">
        <x:v>PASS npm run check: Astro build/Pagefind/validator24HTML/22sitemapURLs. PASS git diff --check. LocalChrome375/390/768/1440 light/dark: oneH1, title/card/OG/Twitter sync, canonical/Article/BreadcrumbList, TOC anchors, sitemaponce, Pagefind, homepage/category and reciprocal loanlinks. Three exact AppCTAs;00064470clipboard; correct separate cardproduct/eventidentity; consentdenied/granted affiliate_click/referral_code_copy. Existingloan3CTA destinations/title retained; nooverflow/runtimeerrors. Independenteditorial/source review; corrected ambiguouslatefee trigger. No separate lint/typecheck/testscripts. Workbookrecalculation and nativefeaturepreservation checked.</x:v>
      </x:c>
      <x:c xmlns:x="http://schemas.openxmlformats.org/spreadsheetml/2006/main" r="L6" s="22" t="str">
        <x:v>Pending content commit</x:v>
      </x:c>
      <x:c xmlns:x="http://schemas.openxmlformats.org/spreadsheetml/2006/main" r="M6" s="22" t="str">
        <x:v>Pending</x:v>
      </x:c>
      <x:c xmlns:x="http://schemas.openxmlformats.org/spreadsheetml/2006/main" r="N6" s="22" t="str">
        <x:v>Existing automatic GitHub/Cloudflare Pages integration</x:v>
      </x:c>
      <x:c xmlns:x="http://schemas.openxmlformats.org/spreadsheetml/2006/main" r="O6" s="22" t="str">
        <x:v>Pending</x:v>
      </x:c>
      <x:c xmlns:x="http://schemas.openxmlformats.org/spreadsheetml/2006/main" r="P6" s="22" t="str">
        <x:v>In progress</x:v>
      </x:c>
      <x:c xmlns:x="http://schemas.openxmlformats.org/spreadsheetml/2006/main" r="Q6" s="22" t="str">
        <x:v>New card owner; loan productJSON unchanged and loanarticle only reciprocal link/update date. Title ends online. Generic AppCTA not a card-specific deeplink; staffcode not labelled cardreferralcode. Shared UI/analytics/deploymentconfig unchanged. Fixed NextAction B5: old formula returned Excelrow6 as Queue#; changed only this formula to INDEX actualqueueID (nootherformula depends on its numeric row). Refreshed selector correctly points Queue3 L-RATE. Prior blocked/resume history preserved.</x:v>
      </x:c>
    </x:row>
    <x:row r="7">
      <x:c r="A7" s="22" t="n">
        <x:v>4</x:v>
      </x:c>
      <x:c r="B7" s="22"/>
      <x:c r="C7" s="22"/>
      <x:c r="D7" s="22"/>
      <x:c r="E7" s="22"/>
      <x:c r="F7" s="22"/>
      <x:c r="G7" s="22"/>
      <x:c r="H7" s="22"/>
      <x:c r="I7" s="22"/>
      <x:c r="J7" s="22"/>
      <x:c r="K7" s="22"/>
      <x:c r="L7" s="22"/>
      <x:c r="M7" s="22"/>
      <x:c r="N7" s="22"/>
      <x:c r="O7" s="22"/>
      <x:c r="P7" s="22"/>
      <x:c r="Q7" s="22"/>
    </x:row>
    <x:row r="8">
      <x:c r="A8" s="22" t="n">
        <x:v>5</x:v>
      </x:c>
      <x:c r="B8" s="22"/>
      <x:c r="C8" s="22"/>
      <x:c r="D8" s="22"/>
      <x:c r="E8" s="22"/>
      <x:c r="F8" s="22"/>
      <x:c r="G8" s="22"/>
      <x:c r="H8" s="22"/>
      <x:c r="I8" s="22"/>
      <x:c r="J8" s="22"/>
      <x:c r="K8" s="22"/>
      <x:c r="L8" s="22"/>
      <x:c r="M8" s="22"/>
      <x:c r="N8" s="22"/>
      <x:c r="O8" s="22"/>
      <x:c r="P8" s="22"/>
      <x:c r="Q8" s="22"/>
    </x:row>
    <x:row r="9">
      <x:c r="A9" s="22" t="n">
        <x:v>6</x:v>
      </x:c>
      <x:c r="B9" s="22"/>
      <x:c r="C9" s="22"/>
      <x:c r="D9" s="22"/>
      <x:c r="E9" s="22"/>
      <x:c r="F9" s="22"/>
      <x:c r="G9" s="22"/>
      <x:c r="H9" s="22"/>
      <x:c r="I9" s="22"/>
      <x:c r="J9" s="22"/>
      <x:c r="K9" s="22"/>
      <x:c r="L9" s="22"/>
      <x:c r="M9" s="22"/>
      <x:c r="N9" s="22"/>
      <x:c r="O9" s="22"/>
      <x:c r="P9" s="22"/>
      <x:c r="Q9" s="22"/>
    </x:row>
    <x:row r="10">
      <x:c r="A10" s="22" t="n">
        <x:v>7</x:v>
      </x:c>
      <x:c r="B10" s="22"/>
      <x:c r="C10" s="22"/>
      <x:c r="D10" s="22"/>
      <x:c r="E10" s="22"/>
      <x:c r="F10" s="22"/>
      <x:c r="G10" s="22"/>
      <x:c r="H10" s="22"/>
      <x:c r="I10" s="22"/>
      <x:c r="J10" s="22"/>
      <x:c r="K10" s="22"/>
      <x:c r="L10" s="22"/>
      <x:c r="M10" s="22"/>
      <x:c r="N10" s="22"/>
      <x:c r="O10" s="22"/>
      <x:c r="P10" s="22"/>
      <x:c r="Q10" s="22"/>
    </x:row>
    <x:row r="11">
      <x:c r="A11" s="22" t="n">
        <x:v>8</x:v>
      </x:c>
      <x:c r="B11" s="22"/>
      <x:c r="C11" s="22"/>
      <x:c r="D11" s="22"/>
      <x:c r="E11" s="22"/>
      <x:c r="F11" s="22"/>
      <x:c r="G11" s="22"/>
      <x:c r="H11" s="22"/>
      <x:c r="I11" s="22"/>
      <x:c r="J11" s="22"/>
      <x:c r="K11" s="22"/>
      <x:c r="L11" s="22"/>
      <x:c r="M11" s="22"/>
      <x:c r="N11" s="22"/>
      <x:c r="O11" s="22"/>
      <x:c r="P11" s="22"/>
      <x:c r="Q11" s="22"/>
    </x:row>
    <x:row r="12">
      <x:c r="A12" s="22" t="n">
        <x:v>9</x:v>
      </x:c>
      <x:c r="B12" s="22"/>
      <x:c r="C12" s="22"/>
      <x:c r="D12" s="22"/>
      <x:c r="E12" s="22"/>
      <x:c r="F12" s="22"/>
      <x:c r="G12" s="22"/>
      <x:c r="H12" s="22"/>
      <x:c r="I12" s="22"/>
      <x:c r="J12" s="22"/>
      <x:c r="K12" s="22"/>
      <x:c r="L12" s="22"/>
      <x:c r="M12" s="22"/>
      <x:c r="N12" s="22"/>
      <x:c r="O12" s="22"/>
      <x:c r="P12" s="22"/>
      <x:c r="Q12" s="22"/>
    </x:row>
    <x:row r="13">
      <x:c r="A13" s="22" t="n">
        <x:v>10</x:v>
      </x:c>
      <x:c r="B13" s="22"/>
      <x:c r="C13" s="22"/>
      <x:c r="D13" s="22"/>
      <x:c r="E13" s="22"/>
      <x:c r="F13" s="22"/>
      <x:c r="G13" s="22"/>
      <x:c r="H13" s="22"/>
      <x:c r="I13" s="22"/>
      <x:c r="J13" s="22"/>
      <x:c r="K13" s="22"/>
      <x:c r="L13" s="22"/>
      <x:c r="M13" s="22"/>
      <x:c r="N13" s="22"/>
      <x:c r="O13" s="22"/>
      <x:c r="P13" s="22"/>
      <x:c r="Q13" s="22"/>
    </x:row>
    <x:row r="14">
      <x:c r="A14" s="22" t="n">
        <x:v>11</x:v>
      </x:c>
      <x:c r="B14" s="22"/>
      <x:c r="C14" s="22"/>
      <x:c r="D14" s="22"/>
      <x:c r="E14" s="22"/>
      <x:c r="F14" s="22"/>
      <x:c r="G14" s="22"/>
      <x:c r="H14" s="22"/>
      <x:c r="I14" s="22"/>
      <x:c r="J14" s="22"/>
      <x:c r="K14" s="22"/>
      <x:c r="L14" s="22"/>
      <x:c r="M14" s="22"/>
      <x:c r="N14" s="22"/>
      <x:c r="O14" s="22"/>
      <x:c r="P14" s="22"/>
      <x:c r="Q14" s="22"/>
    </x:row>
    <x:row r="15">
      <x:c r="A15" s="22" t="n">
        <x:v>12</x:v>
      </x:c>
      <x:c r="B15" s="22"/>
      <x:c r="C15" s="22"/>
      <x:c r="D15" s="22"/>
      <x:c r="E15" s="22"/>
      <x:c r="F15" s="22"/>
      <x:c r="G15" s="22"/>
      <x:c r="H15" s="22"/>
      <x:c r="I15" s="22"/>
      <x:c r="J15" s="22"/>
      <x:c r="K15" s="22"/>
      <x:c r="L15" s="22"/>
      <x:c r="M15" s="22"/>
      <x:c r="N15" s="22"/>
      <x:c r="O15" s="22"/>
      <x:c r="P15" s="22"/>
      <x:c r="Q15" s="22"/>
    </x:row>
    <x:row r="16">
      <x:c r="A16" s="22" t="n">
        <x:v>13</x:v>
      </x:c>
      <x:c r="B16" s="22"/>
      <x:c r="C16" s="22"/>
      <x:c r="D16" s="22"/>
      <x:c r="E16" s="22"/>
      <x:c r="F16" s="22"/>
      <x:c r="G16" s="22"/>
      <x:c r="H16" s="22"/>
      <x:c r="I16" s="22"/>
      <x:c r="J16" s="22"/>
      <x:c r="K16" s="22"/>
      <x:c r="L16" s="22"/>
      <x:c r="M16" s="22"/>
      <x:c r="N16" s="22"/>
      <x:c r="O16" s="22"/>
      <x:c r="P16" s="22"/>
      <x:c r="Q16" s="22"/>
    </x:row>
    <x:row r="17">
      <x:c r="A17" s="22" t="n">
        <x:v>14</x:v>
      </x:c>
      <x:c r="B17" s="22"/>
      <x:c r="C17" s="22"/>
      <x:c r="D17" s="22"/>
      <x:c r="E17" s="22"/>
      <x:c r="F17" s="22"/>
      <x:c r="G17" s="22"/>
      <x:c r="H17" s="22"/>
      <x:c r="I17" s="22"/>
      <x:c r="J17" s="22"/>
      <x:c r="K17" s="22"/>
      <x:c r="L17" s="22"/>
      <x:c r="M17" s="22"/>
      <x:c r="N17" s="22"/>
      <x:c r="O17" s="22"/>
      <x:c r="P17" s="22"/>
      <x:c r="Q17" s="22"/>
    </x:row>
    <x:row r="18">
      <x:c r="A18" s="22" t="n">
        <x:v>15</x:v>
      </x:c>
      <x:c r="B18" s="22"/>
      <x:c r="C18" s="22"/>
      <x:c r="D18" s="22"/>
      <x:c r="E18" s="22"/>
      <x:c r="F18" s="22"/>
      <x:c r="G18" s="22"/>
      <x:c r="H18" s="22"/>
      <x:c r="I18" s="22"/>
      <x:c r="J18" s="22"/>
      <x:c r="K18" s="22"/>
      <x:c r="L18" s="22"/>
      <x:c r="M18" s="22"/>
      <x:c r="N18" s="22"/>
      <x:c r="O18" s="22"/>
      <x:c r="P18" s="22"/>
      <x:c r="Q18" s="22"/>
    </x:row>
    <x:row r="19">
      <x:c r="A19" s="22" t="n">
        <x:v>16</x:v>
      </x:c>
      <x:c r="B19" s="22"/>
      <x:c r="C19" s="22"/>
      <x:c r="D19" s="22"/>
      <x:c r="E19" s="22"/>
      <x:c r="F19" s="22"/>
      <x:c r="G19" s="22"/>
      <x:c r="H19" s="22"/>
      <x:c r="I19" s="22"/>
      <x:c r="J19" s="22"/>
      <x:c r="K19" s="22"/>
      <x:c r="L19" s="22"/>
      <x:c r="M19" s="22"/>
      <x:c r="N19" s="22"/>
      <x:c r="O19" s="22"/>
      <x:c r="P19" s="22"/>
      <x:c r="Q19" s="22"/>
    </x:row>
    <x:row r="20">
      <x:c r="A20" s="22" t="n">
        <x:v>17</x:v>
      </x:c>
      <x:c r="B20" s="22"/>
      <x:c r="C20" s="22"/>
      <x:c r="D20" s="22"/>
      <x:c r="E20" s="22"/>
      <x:c r="F20" s="22"/>
      <x:c r="G20" s="22"/>
      <x:c r="H20" s="22"/>
      <x:c r="I20" s="22"/>
      <x:c r="J20" s="22"/>
      <x:c r="K20" s="22"/>
      <x:c r="L20" s="22"/>
      <x:c r="M20" s="22"/>
      <x:c r="N20" s="22"/>
      <x:c r="O20" s="22"/>
      <x:c r="P20" s="22"/>
      <x:c r="Q20" s="22"/>
    </x:row>
    <x:row r="21">
      <x:c r="A21" s="22" t="n">
        <x:v>18</x:v>
      </x:c>
      <x:c r="B21" s="22"/>
      <x:c r="C21" s="22"/>
      <x:c r="D21" s="22"/>
      <x:c r="E21" s="22"/>
      <x:c r="F21" s="22"/>
      <x:c r="G21" s="22"/>
      <x:c r="H21" s="22"/>
      <x:c r="I21" s="22"/>
      <x:c r="J21" s="22"/>
      <x:c r="K21" s="22"/>
      <x:c r="L21" s="22"/>
      <x:c r="M21" s="22"/>
      <x:c r="N21" s="22"/>
      <x:c r="O21" s="22"/>
      <x:c r="P21" s="22"/>
      <x:c r="Q21" s="22"/>
    </x:row>
    <x:row r="22">
      <x:c r="A22" s="22" t="n">
        <x:v>19</x:v>
      </x:c>
      <x:c r="B22" s="22"/>
      <x:c r="C22" s="22"/>
      <x:c r="D22" s="22"/>
      <x:c r="E22" s="22"/>
      <x:c r="F22" s="22"/>
      <x:c r="G22" s="22"/>
      <x:c r="H22" s="22"/>
      <x:c r="I22" s="22"/>
      <x:c r="J22" s="22"/>
      <x:c r="K22" s="22"/>
      <x:c r="L22" s="22"/>
      <x:c r="M22" s="22"/>
      <x:c r="N22" s="22"/>
      <x:c r="O22" s="22"/>
      <x:c r="P22" s="22"/>
      <x:c r="Q22" s="22"/>
    </x:row>
    <x:row r="23">
      <x:c r="A23" s="22" t="n">
        <x:v>20</x:v>
      </x:c>
      <x:c r="B23" s="22"/>
      <x:c r="C23" s="22"/>
      <x:c r="D23" s="22"/>
      <x:c r="E23" s="22"/>
      <x:c r="F23" s="22"/>
      <x:c r="G23" s="22"/>
      <x:c r="H23" s="22"/>
      <x:c r="I23" s="22"/>
      <x:c r="J23" s="22"/>
      <x:c r="K23" s="22"/>
      <x:c r="L23" s="22"/>
      <x:c r="M23" s="22"/>
      <x:c r="N23" s="22"/>
      <x:c r="O23" s="22"/>
      <x:c r="P23" s="22"/>
      <x:c r="Q23" s="22"/>
    </x:row>
    <x:row r="24">
      <x:c r="A24" s="22" t="n">
        <x:v>21</x:v>
      </x:c>
      <x:c r="B24" s="22"/>
      <x:c r="C24" s="22"/>
      <x:c r="D24" s="22"/>
      <x:c r="E24" s="22"/>
      <x:c r="F24" s="22"/>
      <x:c r="G24" s="22"/>
      <x:c r="H24" s="22"/>
      <x:c r="I24" s="22"/>
      <x:c r="J24" s="22"/>
      <x:c r="K24" s="22"/>
      <x:c r="L24" s="22"/>
      <x:c r="M24" s="22"/>
      <x:c r="N24" s="22"/>
      <x:c r="O24" s="22"/>
      <x:c r="P24" s="22"/>
      <x:c r="Q24" s="22"/>
    </x:row>
    <x:row r="25">
      <x:c r="A25" s="22" t="n">
        <x:v>22</x:v>
      </x:c>
      <x:c r="B25" s="22"/>
      <x:c r="C25" s="22"/>
      <x:c r="D25" s="22"/>
      <x:c r="E25" s="22"/>
      <x:c r="F25" s="22"/>
      <x:c r="G25" s="22"/>
      <x:c r="H25" s="22"/>
      <x:c r="I25" s="22"/>
      <x:c r="J25" s="22"/>
      <x:c r="K25" s="22"/>
      <x:c r="L25" s="22"/>
      <x:c r="M25" s="22"/>
      <x:c r="N25" s="22"/>
      <x:c r="O25" s="22"/>
      <x:c r="P25" s="22"/>
      <x:c r="Q25" s="22"/>
    </x:row>
    <x:row r="26">
      <x:c r="A26" s="22" t="n">
        <x:v>23</x:v>
      </x:c>
      <x:c r="B26" s="22"/>
      <x:c r="C26" s="22"/>
      <x:c r="D26" s="22"/>
      <x:c r="E26" s="22"/>
      <x:c r="F26" s="22"/>
      <x:c r="G26" s="22"/>
      <x:c r="H26" s="22"/>
      <x:c r="I26" s="22"/>
      <x:c r="J26" s="22"/>
      <x:c r="K26" s="22"/>
      <x:c r="L26" s="22"/>
      <x:c r="M26" s="22"/>
      <x:c r="N26" s="22"/>
      <x:c r="O26" s="22"/>
      <x:c r="P26" s="22"/>
      <x:c r="Q26" s="22"/>
    </x:row>
    <x:row r="27">
      <x:c r="A27" s="22" t="n">
        <x:v>24</x:v>
      </x:c>
      <x:c r="B27" s="22"/>
      <x:c r="C27" s="22"/>
      <x:c r="D27" s="22"/>
      <x:c r="E27" s="22"/>
      <x:c r="F27" s="22"/>
      <x:c r="G27" s="22"/>
      <x:c r="H27" s="22"/>
      <x:c r="I27" s="22"/>
      <x:c r="J27" s="22"/>
      <x:c r="K27" s="22"/>
      <x:c r="L27" s="22"/>
      <x:c r="M27" s="22"/>
      <x:c r="N27" s="22"/>
      <x:c r="O27" s="22"/>
      <x:c r="P27" s="22"/>
      <x:c r="Q27" s="22"/>
    </x:row>
    <x:row r="28">
      <x:c r="A28" s="22" t="n">
        <x:v>25</x:v>
      </x:c>
      <x:c r="B28" s="22"/>
      <x:c r="C28" s="22"/>
      <x:c r="D28" s="22"/>
      <x:c r="E28" s="22"/>
      <x:c r="F28" s="22"/>
      <x:c r="G28" s="22"/>
      <x:c r="H28" s="22"/>
      <x:c r="I28" s="22"/>
      <x:c r="J28" s="22"/>
      <x:c r="K28" s="22"/>
      <x:c r="L28" s="22"/>
      <x:c r="M28" s="22"/>
      <x:c r="N28" s="22"/>
      <x:c r="O28" s="22"/>
      <x:c r="P28" s="22"/>
      <x:c r="Q28" s="22"/>
    </x:row>
    <x:row r="29">
      <x:c r="A29" s="22" t="n">
        <x:v>26</x:v>
      </x:c>
      <x:c r="B29" s="22"/>
      <x:c r="C29" s="22"/>
      <x:c r="D29" s="22"/>
      <x:c r="E29" s="22"/>
      <x:c r="F29" s="22"/>
      <x:c r="G29" s="22"/>
      <x:c r="H29" s="22"/>
      <x:c r="I29" s="22"/>
      <x:c r="J29" s="22"/>
      <x:c r="K29" s="22"/>
      <x:c r="L29" s="22"/>
      <x:c r="M29" s="22"/>
      <x:c r="N29" s="22"/>
      <x:c r="O29" s="22"/>
      <x:c r="P29" s="22"/>
      <x:c r="Q29" s="22"/>
    </x:row>
    <x:row r="30">
      <x:c r="A30" s="22" t="n">
        <x:v>27</x:v>
      </x:c>
      <x:c r="B30" s="22"/>
      <x:c r="C30" s="22"/>
      <x:c r="D30" s="22"/>
      <x:c r="E30" s="22"/>
      <x:c r="F30" s="22"/>
      <x:c r="G30" s="22"/>
      <x:c r="H30" s="22"/>
      <x:c r="I30" s="22"/>
      <x:c r="J30" s="22"/>
      <x:c r="K30" s="22"/>
      <x:c r="L30" s="22"/>
      <x:c r="M30" s="22"/>
      <x:c r="N30" s="22"/>
      <x:c r="O30" s="22"/>
      <x:c r="P30" s="22"/>
      <x:c r="Q30" s="22"/>
    </x:row>
    <x:row r="31">
      <x:c r="A31" s="22" t="n">
        <x:v>28</x:v>
      </x:c>
      <x:c r="B31" s="22"/>
      <x:c r="C31" s="22"/>
      <x:c r="D31" s="22"/>
      <x:c r="E31" s="22"/>
      <x:c r="F31" s="22"/>
      <x:c r="G31" s="22"/>
      <x:c r="H31" s="22"/>
      <x:c r="I31" s="22"/>
      <x:c r="J31" s="22"/>
      <x:c r="K31" s="22"/>
      <x:c r="L31" s="22"/>
      <x:c r="M31" s="22"/>
      <x:c r="N31" s="22"/>
      <x:c r="O31" s="22"/>
      <x:c r="P31" s="22"/>
      <x:c r="Q31" s="22"/>
    </x:row>
    <x:row r="32">
      <x:c r="A32" s="22" t="n">
        <x:v>29</x:v>
      </x:c>
      <x:c r="B32" s="22"/>
      <x:c r="C32" s="22"/>
      <x:c r="D32" s="22"/>
      <x:c r="E32" s="22"/>
      <x:c r="F32" s="22"/>
      <x:c r="G32" s="22"/>
      <x:c r="H32" s="22"/>
      <x:c r="I32" s="22"/>
      <x:c r="J32" s="22"/>
      <x:c r="K32" s="22"/>
      <x:c r="L32" s="22"/>
      <x:c r="M32" s="22"/>
      <x:c r="N32" s="22"/>
      <x:c r="O32" s="22"/>
      <x:c r="P32" s="22"/>
      <x:c r="Q32" s="22"/>
    </x:row>
    <x:row r="33">
      <x:c r="A33" s="22" t="n">
        <x:v>30</x:v>
      </x:c>
      <x:c r="B33" s="22"/>
      <x:c r="C33" s="22"/>
      <x:c r="D33" s="22"/>
      <x:c r="E33" s="22"/>
      <x:c r="F33" s="22"/>
      <x:c r="G33" s="22"/>
      <x:c r="H33" s="22"/>
      <x:c r="I33" s="22"/>
      <x:c r="J33" s="22"/>
      <x:c r="K33" s="22"/>
      <x:c r="L33" s="22"/>
      <x:c r="M33" s="22"/>
      <x:c r="N33" s="22"/>
      <x:c r="O33" s="22"/>
      <x:c r="P33" s="22"/>
      <x:c r="Q33" s="22"/>
    </x:row>
    <x:row r="34">
      <x:c r="A34" s="22" t="n">
        <x:v>31</x:v>
      </x:c>
      <x:c r="B34" s="22"/>
      <x:c r="C34" s="22"/>
      <x:c r="D34" s="22"/>
      <x:c r="E34" s="22"/>
      <x:c r="F34" s="22"/>
      <x:c r="G34" s="22"/>
      <x:c r="H34" s="22"/>
      <x:c r="I34" s="22"/>
      <x:c r="J34" s="22"/>
      <x:c r="K34" s="22"/>
      <x:c r="L34" s="22"/>
      <x:c r="M34" s="22"/>
      <x:c r="N34" s="22"/>
      <x:c r="O34" s="22"/>
      <x:c r="P34" s="22"/>
      <x:c r="Q34" s="22"/>
    </x:row>
    <x:row r="35">
      <x:c r="A35" s="22" t="n">
        <x:v>32</x:v>
      </x:c>
      <x:c r="B35" s="22"/>
      <x:c r="C35" s="22"/>
      <x:c r="D35" s="22"/>
      <x:c r="E35" s="22"/>
      <x:c r="F35" s="22"/>
      <x:c r="G35" s="22"/>
      <x:c r="H35" s="22"/>
      <x:c r="I35" s="22"/>
      <x:c r="J35" s="22"/>
      <x:c r="K35" s="22"/>
      <x:c r="L35" s="22"/>
      <x:c r="M35" s="22"/>
      <x:c r="N35" s="22"/>
      <x:c r="O35" s="22"/>
      <x:c r="P35" s="22"/>
      <x:c r="Q35" s="22"/>
    </x:row>
    <x:row r="36">
      <x:c r="A36" s="22" t="n">
        <x:v>33</x:v>
      </x:c>
      <x:c r="B36" s="22"/>
      <x:c r="C36" s="22"/>
      <x:c r="D36" s="22"/>
      <x:c r="E36" s="22"/>
      <x:c r="F36" s="22"/>
      <x:c r="G36" s="22"/>
      <x:c r="H36" s="22"/>
      <x:c r="I36" s="22"/>
      <x:c r="J36" s="22"/>
      <x:c r="K36" s="22"/>
      <x:c r="L36" s="22"/>
      <x:c r="M36" s="22"/>
      <x:c r="N36" s="22"/>
      <x:c r="O36" s="22"/>
      <x:c r="P36" s="22"/>
      <x:c r="Q36" s="22"/>
    </x:row>
    <x:row r="37">
      <x:c r="A37" s="22" t="n">
        <x:v>34</x:v>
      </x:c>
      <x:c r="B37" s="22"/>
      <x:c r="C37" s="22"/>
      <x:c r="D37" s="22"/>
      <x:c r="E37" s="22"/>
      <x:c r="F37" s="22"/>
      <x:c r="G37" s="22"/>
      <x:c r="H37" s="22"/>
      <x:c r="I37" s="22"/>
      <x:c r="J37" s="22"/>
      <x:c r="K37" s="22"/>
      <x:c r="L37" s="22"/>
      <x:c r="M37" s="22"/>
      <x:c r="N37" s="22"/>
      <x:c r="O37" s="22"/>
      <x:c r="P37" s="22"/>
      <x:c r="Q37" s="22"/>
    </x:row>
    <x:row r="38">
      <x:c r="A38" s="22" t="n">
        <x:v>35</x:v>
      </x:c>
      <x:c r="B38" s="22"/>
      <x:c r="C38" s="22"/>
      <x:c r="D38" s="22"/>
      <x:c r="E38" s="22"/>
      <x:c r="F38" s="22"/>
      <x:c r="G38" s="22"/>
      <x:c r="H38" s="22"/>
      <x:c r="I38" s="22"/>
      <x:c r="J38" s="22"/>
      <x:c r="K38" s="22"/>
      <x:c r="L38" s="22"/>
      <x:c r="M38" s="22"/>
      <x:c r="N38" s="22"/>
      <x:c r="O38" s="22"/>
      <x:c r="P38" s="22"/>
      <x:c r="Q38" s="22"/>
    </x:row>
    <x:row r="39">
      <x:c r="A39" s="22" t="n">
        <x:v>36</x:v>
      </x:c>
      <x:c r="B39" s="22"/>
      <x:c r="C39" s="22"/>
      <x:c r="D39" s="22"/>
      <x:c r="E39" s="22"/>
      <x:c r="F39" s="22"/>
      <x:c r="G39" s="22"/>
      <x:c r="H39" s="22"/>
      <x:c r="I39" s="22"/>
      <x:c r="J39" s="22"/>
      <x:c r="K39" s="22"/>
      <x:c r="L39" s="22"/>
      <x:c r="M39" s="22"/>
      <x:c r="N39" s="22"/>
      <x:c r="O39" s="22"/>
      <x:c r="P39" s="22"/>
      <x:c r="Q39" s="22"/>
    </x:row>
    <x:row r="40">
      <x:c r="A40" s="22" t="n">
        <x:v>37</x:v>
      </x:c>
      <x:c r="B40" s="22"/>
      <x:c r="C40" s="22"/>
      <x:c r="D40" s="22"/>
      <x:c r="E40" s="22"/>
      <x:c r="F40" s="22"/>
      <x:c r="G40" s="22"/>
      <x:c r="H40" s="22"/>
      <x:c r="I40" s="22"/>
      <x:c r="J40" s="22"/>
      <x:c r="K40" s="22"/>
      <x:c r="L40" s="22"/>
      <x:c r="M40" s="22"/>
      <x:c r="N40" s="22"/>
      <x:c r="O40" s="22"/>
      <x:c r="P40" s="22"/>
      <x:c r="Q40" s="22"/>
    </x:row>
    <x:row r="41">
      <x:c r="A41" s="22" t="n">
        <x:v>38</x:v>
      </x:c>
      <x:c r="B41" s="22"/>
      <x:c r="C41" s="22"/>
      <x:c r="D41" s="22"/>
      <x:c r="E41" s="22"/>
      <x:c r="F41" s="22"/>
      <x:c r="G41" s="22"/>
      <x:c r="H41" s="22"/>
      <x:c r="I41" s="22"/>
      <x:c r="J41" s="22"/>
      <x:c r="K41" s="22"/>
      <x:c r="L41" s="22"/>
      <x:c r="M41" s="22"/>
      <x:c r="N41" s="22"/>
      <x:c r="O41" s="22"/>
      <x:c r="P41" s="22"/>
      <x:c r="Q41" s="22"/>
    </x:row>
    <x:row r="42">
      <x:c r="A42" s="22" t="n">
        <x:v>39</x:v>
      </x:c>
      <x:c r="B42" s="22"/>
      <x:c r="C42" s="22"/>
      <x:c r="D42" s="22"/>
      <x:c r="E42" s="22"/>
      <x:c r="F42" s="22"/>
      <x:c r="G42" s="22"/>
      <x:c r="H42" s="22"/>
      <x:c r="I42" s="22"/>
      <x:c r="J42" s="22"/>
      <x:c r="K42" s="22"/>
      <x:c r="L42" s="22"/>
      <x:c r="M42" s="22"/>
      <x:c r="N42" s="22"/>
      <x:c r="O42" s="22"/>
      <x:c r="P42" s="22"/>
      <x:c r="Q42" s="22"/>
    </x:row>
    <x:row r="43">
      <x:c r="A43" s="22" t="n">
        <x:v>40</x:v>
      </x:c>
      <x:c r="B43" s="22"/>
      <x:c r="C43" s="22"/>
      <x:c r="D43" s="22"/>
      <x:c r="E43" s="22"/>
      <x:c r="F43" s="22"/>
      <x:c r="G43" s="22"/>
      <x:c r="H43" s="22"/>
      <x:c r="I43" s="22"/>
      <x:c r="J43" s="22"/>
      <x:c r="K43" s="22"/>
      <x:c r="L43" s="22"/>
      <x:c r="M43" s="22"/>
      <x:c r="N43" s="22"/>
      <x:c r="O43" s="22"/>
      <x:c r="P43" s="22"/>
      <x:c r="Q43" s="22"/>
    </x:row>
    <x:row r="44">
      <x:c r="A44" s="22" t="n">
        <x:v>41</x:v>
      </x:c>
      <x:c r="B44" s="22"/>
      <x:c r="C44" s="22"/>
      <x:c r="D44" s="22"/>
      <x:c r="E44" s="22"/>
      <x:c r="F44" s="22"/>
      <x:c r="G44" s="22"/>
      <x:c r="H44" s="22"/>
      <x:c r="I44" s="22"/>
      <x:c r="J44" s="22"/>
      <x:c r="K44" s="22"/>
      <x:c r="L44" s="22"/>
      <x:c r="M44" s="22"/>
      <x:c r="N44" s="22"/>
      <x:c r="O44" s="22"/>
      <x:c r="P44" s="22"/>
      <x:c r="Q44" s="22"/>
    </x:row>
    <x:row r="45">
      <x:c r="A45" s="22" t="n">
        <x:v>42</x:v>
      </x:c>
      <x:c r="B45" s="22"/>
      <x:c r="C45" s="22"/>
      <x:c r="D45" s="22"/>
      <x:c r="E45" s="22"/>
      <x:c r="F45" s="22"/>
      <x:c r="G45" s="22"/>
      <x:c r="H45" s="22"/>
      <x:c r="I45" s="22"/>
      <x:c r="J45" s="22"/>
      <x:c r="K45" s="22"/>
      <x:c r="L45" s="22"/>
      <x:c r="M45" s="22"/>
      <x:c r="N45" s="22"/>
      <x:c r="O45" s="22"/>
      <x:c r="P45" s="22"/>
      <x:c r="Q45" s="22"/>
    </x:row>
    <x:row r="46">
      <x:c r="A46" s="22" t="n">
        <x:v>43</x:v>
      </x:c>
      <x:c r="B46" s="22"/>
      <x:c r="C46" s="22"/>
      <x:c r="D46" s="22"/>
      <x:c r="E46" s="22"/>
      <x:c r="F46" s="22"/>
      <x:c r="G46" s="22"/>
      <x:c r="H46" s="22"/>
      <x:c r="I46" s="22"/>
      <x:c r="J46" s="22"/>
      <x:c r="K46" s="22"/>
      <x:c r="L46" s="22"/>
      <x:c r="M46" s="22"/>
      <x:c r="N46" s="22"/>
      <x:c r="O46" s="22"/>
      <x:c r="P46" s="22"/>
      <x:c r="Q46" s="22"/>
    </x:row>
    <x:row r="47">
      <x:c r="A47" s="22" t="n">
        <x:v>44</x:v>
      </x:c>
      <x:c r="B47" s="22"/>
      <x:c r="C47" s="22"/>
      <x:c r="D47" s="22"/>
      <x:c r="E47" s="22"/>
      <x:c r="F47" s="22"/>
      <x:c r="G47" s="22"/>
      <x:c r="H47" s="22"/>
      <x:c r="I47" s="22"/>
      <x:c r="J47" s="22"/>
      <x:c r="K47" s="22"/>
      <x:c r="L47" s="22"/>
      <x:c r="M47" s="22"/>
      <x:c r="N47" s="22"/>
      <x:c r="O47" s="22"/>
      <x:c r="P47" s="22"/>
      <x:c r="Q47" s="22"/>
    </x:row>
    <x:row r="48">
      <x:c r="A48" s="22" t="n">
        <x:v>45</x:v>
      </x:c>
      <x:c r="B48" s="22"/>
      <x:c r="C48" s="22"/>
      <x:c r="D48" s="22"/>
      <x:c r="E48" s="22"/>
      <x:c r="F48" s="22"/>
      <x:c r="G48" s="22"/>
      <x:c r="H48" s="22"/>
      <x:c r="I48" s="22"/>
      <x:c r="J48" s="22"/>
      <x:c r="K48" s="22"/>
      <x:c r="L48" s="22"/>
      <x:c r="M48" s="22"/>
      <x:c r="N48" s="22"/>
      <x:c r="O48" s="22"/>
      <x:c r="P48" s="22"/>
      <x:c r="Q48" s="22"/>
    </x:row>
    <x:row r="49">
      <x:c r="A49" s="22" t="n">
        <x:v>46</x:v>
      </x:c>
      <x:c r="B49" s="22"/>
      <x:c r="C49" s="22"/>
      <x:c r="D49" s="22"/>
      <x:c r="E49" s="22"/>
      <x:c r="F49" s="22"/>
      <x:c r="G49" s="22"/>
      <x:c r="H49" s="22"/>
      <x:c r="I49" s="22"/>
      <x:c r="J49" s="22"/>
      <x:c r="K49" s="22"/>
      <x:c r="L49" s="22"/>
      <x:c r="M49" s="22"/>
      <x:c r="N49" s="22"/>
      <x:c r="O49" s="22"/>
      <x:c r="P49" s="22"/>
      <x:c r="Q49" s="22"/>
    </x:row>
    <x:row r="50">
      <x:c r="A50" s="22" t="n">
        <x:v>47</x:v>
      </x:c>
      <x:c r="B50" s="22"/>
      <x:c r="C50" s="22"/>
      <x:c r="D50" s="22"/>
      <x:c r="E50" s="22"/>
      <x:c r="F50" s="22"/>
      <x:c r="G50" s="22"/>
      <x:c r="H50" s="22"/>
      <x:c r="I50" s="22"/>
      <x:c r="J50" s="22"/>
      <x:c r="K50" s="22"/>
      <x:c r="L50" s="22"/>
      <x:c r="M50" s="22"/>
      <x:c r="N50" s="22"/>
      <x:c r="O50" s="22"/>
      <x:c r="P50" s="22"/>
      <x:c r="Q50" s="22"/>
    </x:row>
    <x:row r="51">
      <x:c r="A51" s="22" t="n">
        <x:v>48</x:v>
      </x:c>
      <x:c r="B51" s="22"/>
      <x:c r="C51" s="22"/>
      <x:c r="D51" s="22"/>
      <x:c r="E51" s="22"/>
      <x:c r="F51" s="22"/>
      <x:c r="G51" s="22"/>
      <x:c r="H51" s="22"/>
      <x:c r="I51" s="22"/>
      <x:c r="J51" s="22"/>
      <x:c r="K51" s="22"/>
      <x:c r="L51" s="22"/>
      <x:c r="M51" s="22"/>
      <x:c r="N51" s="22"/>
      <x:c r="O51" s="22"/>
      <x:c r="P51" s="22"/>
      <x:c r="Q51" s="22"/>
    </x:row>
    <x:row r="52">
      <x:c r="A52" s="22" t="n">
        <x:v>49</x:v>
      </x:c>
      <x:c r="B52" s="22"/>
      <x:c r="C52" s="22"/>
      <x:c r="D52" s="22"/>
      <x:c r="E52" s="22"/>
      <x:c r="F52" s="22"/>
      <x:c r="G52" s="22"/>
      <x:c r="H52" s="22"/>
      <x:c r="I52" s="22"/>
      <x:c r="J52" s="22"/>
      <x:c r="K52" s="22"/>
      <x:c r="L52" s="22"/>
      <x:c r="M52" s="22"/>
      <x:c r="N52" s="22"/>
      <x:c r="O52" s="22"/>
      <x:c r="P52" s="22"/>
      <x:c r="Q52" s="22"/>
    </x:row>
    <x:row r="53">
      <x:c r="A53" s="22" t="n">
        <x:v>50</x:v>
      </x:c>
      <x:c r="B53" s="22"/>
      <x:c r="C53" s="22"/>
      <x:c r="D53" s="22"/>
      <x:c r="E53" s="22"/>
      <x:c r="F53" s="22"/>
      <x:c r="G53" s="22"/>
      <x:c r="H53" s="22"/>
      <x:c r="I53" s="22"/>
      <x:c r="J53" s="22"/>
      <x:c r="K53" s="22"/>
      <x:c r="L53" s="22"/>
      <x:c r="M53" s="22"/>
      <x:c r="N53" s="22"/>
      <x:c r="O53" s="22"/>
      <x:c r="P53" s="22"/>
      <x:c r="Q53" s="22"/>
    </x:row>
    <x:row r="54">
      <x:c r="A54" s="22" t="n">
        <x:v>51</x:v>
      </x:c>
      <x:c r="B54" s="22"/>
      <x:c r="C54" s="22"/>
      <x:c r="D54" s="22"/>
      <x:c r="E54" s="22"/>
      <x:c r="F54" s="22"/>
      <x:c r="G54" s="22"/>
      <x:c r="H54" s="22"/>
      <x:c r="I54" s="22"/>
      <x:c r="J54" s="22"/>
      <x:c r="K54" s="22"/>
      <x:c r="L54" s="22"/>
      <x:c r="M54" s="22"/>
      <x:c r="N54" s="22"/>
      <x:c r="O54" s="22"/>
      <x:c r="P54" s="22"/>
      <x:c r="Q54" s="22"/>
    </x:row>
    <x:row r="55">
      <x:c r="A55" s="22" t="n">
        <x:v>52</x:v>
      </x:c>
      <x:c r="B55" s="22"/>
      <x:c r="C55" s="22"/>
      <x:c r="D55" s="22"/>
      <x:c r="E55" s="22"/>
      <x:c r="F55" s="22"/>
      <x:c r="G55" s="22"/>
      <x:c r="H55" s="22"/>
      <x:c r="I55" s="22"/>
      <x:c r="J55" s="22"/>
      <x:c r="K55" s="22"/>
      <x:c r="L55" s="22"/>
      <x:c r="M55" s="22"/>
      <x:c r="N55" s="22"/>
      <x:c r="O55" s="22"/>
      <x:c r="P55" s="22"/>
      <x:c r="Q55" s="22"/>
    </x:row>
    <x:row r="56">
      <x:c r="A56" s="22" t="n">
        <x:v>53</x:v>
      </x:c>
      <x:c r="B56" s="22"/>
      <x:c r="C56" s="22"/>
      <x:c r="D56" s="22"/>
      <x:c r="E56" s="22"/>
      <x:c r="F56" s="22"/>
      <x:c r="G56" s="22"/>
      <x:c r="H56" s="22"/>
      <x:c r="I56" s="22"/>
      <x:c r="J56" s="22"/>
      <x:c r="K56" s="22"/>
      <x:c r="L56" s="22"/>
      <x:c r="M56" s="22"/>
      <x:c r="N56" s="22"/>
      <x:c r="O56" s="22"/>
      <x:c r="P56" s="22"/>
      <x:c r="Q56" s="22"/>
    </x:row>
    <x:row r="57">
      <x:c r="A57" s="22" t="n">
        <x:v>54</x:v>
      </x:c>
      <x:c r="B57" s="22"/>
      <x:c r="C57" s="22"/>
      <x:c r="D57" s="22"/>
      <x:c r="E57" s="22"/>
      <x:c r="F57" s="22"/>
      <x:c r="G57" s="22"/>
      <x:c r="H57" s="22"/>
      <x:c r="I57" s="22"/>
      <x:c r="J57" s="22"/>
      <x:c r="K57" s="22"/>
      <x:c r="L57" s="22"/>
      <x:c r="M57" s="22"/>
      <x:c r="N57" s="22"/>
      <x:c r="O57" s="22"/>
      <x:c r="P57" s="22"/>
      <x:c r="Q57" s="22"/>
    </x:row>
    <x:row r="58">
      <x:c r="A58" s="22" t="n">
        <x:v>55</x:v>
      </x:c>
      <x:c r="B58" s="22"/>
      <x:c r="C58" s="22"/>
      <x:c r="D58" s="22"/>
      <x:c r="E58" s="22"/>
      <x:c r="F58" s="22"/>
      <x:c r="G58" s="22"/>
      <x:c r="H58" s="22"/>
      <x:c r="I58" s="22"/>
      <x:c r="J58" s="22"/>
      <x:c r="K58" s="22"/>
      <x:c r="L58" s="22"/>
      <x:c r="M58" s="22"/>
      <x:c r="N58" s="22"/>
      <x:c r="O58" s="22"/>
      <x:c r="P58" s="22"/>
      <x:c r="Q58" s="22"/>
    </x:row>
    <x:row r="59">
      <x:c r="A59" s="22" t="n">
        <x:v>56</x:v>
      </x:c>
      <x:c r="B59" s="22"/>
      <x:c r="C59" s="22"/>
      <x:c r="D59" s="22"/>
      <x:c r="E59" s="22"/>
      <x:c r="F59" s="22"/>
      <x:c r="G59" s="22"/>
      <x:c r="H59" s="22"/>
      <x:c r="I59" s="22"/>
      <x:c r="J59" s="22"/>
      <x:c r="K59" s="22"/>
      <x:c r="L59" s="22"/>
      <x:c r="M59" s="22"/>
      <x:c r="N59" s="22"/>
      <x:c r="O59" s="22"/>
      <x:c r="P59" s="22"/>
      <x:c r="Q59" s="22"/>
    </x:row>
    <x:row r="60">
      <x:c r="A60" s="22" t="n">
        <x:v>57</x:v>
      </x:c>
      <x:c r="B60" s="22"/>
      <x:c r="C60" s="22"/>
      <x:c r="D60" s="22"/>
      <x:c r="E60" s="22"/>
      <x:c r="F60" s="22"/>
      <x:c r="G60" s="22"/>
      <x:c r="H60" s="22"/>
      <x:c r="I60" s="22"/>
      <x:c r="J60" s="22"/>
      <x:c r="K60" s="22"/>
      <x:c r="L60" s="22"/>
      <x:c r="M60" s="22"/>
      <x:c r="N60" s="22"/>
      <x:c r="O60" s="22"/>
      <x:c r="P60" s="22"/>
      <x:c r="Q60" s="22"/>
    </x:row>
    <x:row r="61">
      <x:c r="A61" s="22" t="n">
        <x:v>58</x:v>
      </x:c>
      <x:c r="B61" s="22"/>
      <x:c r="C61" s="22"/>
      <x:c r="D61" s="22"/>
      <x:c r="E61" s="22"/>
      <x:c r="F61" s="22"/>
      <x:c r="G61" s="22"/>
      <x:c r="H61" s="22"/>
      <x:c r="I61" s="22"/>
      <x:c r="J61" s="22"/>
      <x:c r="K61" s="22"/>
      <x:c r="L61" s="22"/>
      <x:c r="M61" s="22"/>
      <x:c r="N61" s="22"/>
      <x:c r="O61" s="22"/>
      <x:c r="P61" s="22"/>
      <x:c r="Q61" s="22"/>
    </x:row>
    <x:row r="62">
      <x:c r="A62" s="22" t="n">
        <x:v>59</x:v>
      </x:c>
      <x:c r="B62" s="22"/>
      <x:c r="C62" s="22"/>
      <x:c r="D62" s="22"/>
      <x:c r="E62" s="22"/>
      <x:c r="F62" s="22"/>
      <x:c r="G62" s="22"/>
      <x:c r="H62" s="22"/>
      <x:c r="I62" s="22"/>
      <x:c r="J62" s="22"/>
      <x:c r="K62" s="22"/>
      <x:c r="L62" s="22"/>
      <x:c r="M62" s="22"/>
      <x:c r="N62" s="22"/>
      <x:c r="O62" s="22"/>
      <x:c r="P62" s="22"/>
      <x:c r="Q62" s="22"/>
    </x:row>
    <x:row r="63">
      <x:c r="A63" s="22" t="n">
        <x:v>60</x:v>
      </x:c>
      <x:c r="B63" s="22"/>
      <x:c r="C63" s="22"/>
      <x:c r="D63" s="22"/>
      <x:c r="E63" s="22"/>
      <x:c r="F63" s="22"/>
      <x:c r="G63" s="22"/>
      <x:c r="H63" s="22"/>
      <x:c r="I63" s="22"/>
      <x:c r="J63" s="22"/>
      <x:c r="K63" s="22"/>
      <x:c r="L63" s="22"/>
      <x:c r="M63" s="22"/>
      <x:c r="N63" s="22"/>
      <x:c r="O63" s="22"/>
      <x:c r="P63" s="22"/>
      <x:c r="Q63" s="22"/>
    </x:row>
    <x:row r="64">
      <x:c r="A64" s="22" t="n">
        <x:v>61</x:v>
      </x:c>
      <x:c r="B64" s="22"/>
      <x:c r="C64" s="22"/>
      <x:c r="D64" s="22"/>
      <x:c r="E64" s="22"/>
      <x:c r="F64" s="22"/>
      <x:c r="G64" s="22"/>
      <x:c r="H64" s="22"/>
      <x:c r="I64" s="22"/>
      <x:c r="J64" s="22"/>
      <x:c r="K64" s="22"/>
      <x:c r="L64" s="22"/>
      <x:c r="M64" s="22"/>
      <x:c r="N64" s="22"/>
      <x:c r="O64" s="22"/>
      <x:c r="P64" s="22"/>
      <x:c r="Q64" s="22"/>
    </x:row>
    <x:row r="65">
      <x:c r="A65" s="22" t="n">
        <x:v>62</x:v>
      </x:c>
      <x:c r="B65" s="22"/>
      <x:c r="C65" s="22"/>
      <x:c r="D65" s="22"/>
      <x:c r="E65" s="22"/>
      <x:c r="F65" s="22"/>
      <x:c r="G65" s="22"/>
      <x:c r="H65" s="22"/>
      <x:c r="I65" s="22"/>
      <x:c r="J65" s="22"/>
      <x:c r="K65" s="22"/>
      <x:c r="L65" s="22"/>
      <x:c r="M65" s="22"/>
      <x:c r="N65" s="22"/>
      <x:c r="O65" s="22"/>
      <x:c r="P65" s="22"/>
      <x:c r="Q65" s="22"/>
    </x:row>
    <x:row r="66">
      <x:c r="A66" s="22" t="n">
        <x:v>63</x:v>
      </x:c>
      <x:c r="B66" s="22"/>
      <x:c r="C66" s="22"/>
      <x:c r="D66" s="22"/>
      <x:c r="E66" s="22"/>
      <x:c r="F66" s="22"/>
      <x:c r="G66" s="22"/>
      <x:c r="H66" s="22"/>
      <x:c r="I66" s="22"/>
      <x:c r="J66" s="22"/>
      <x:c r="K66" s="22"/>
      <x:c r="L66" s="22"/>
      <x:c r="M66" s="22"/>
      <x:c r="N66" s="22"/>
      <x:c r="O66" s="22"/>
      <x:c r="P66" s="22"/>
      <x:c r="Q66" s="22"/>
    </x:row>
    <x:row r="67">
      <x:c r="A67" s="22" t="n">
        <x:v>64</x:v>
      </x:c>
      <x:c r="B67" s="22"/>
      <x:c r="C67" s="22"/>
      <x:c r="D67" s="22"/>
      <x:c r="E67" s="22"/>
      <x:c r="F67" s="22"/>
      <x:c r="G67" s="22"/>
      <x:c r="H67" s="22"/>
      <x:c r="I67" s="22"/>
      <x:c r="J67" s="22"/>
      <x:c r="K67" s="22"/>
      <x:c r="L67" s="22"/>
      <x:c r="M67" s="22"/>
      <x:c r="N67" s="22"/>
      <x:c r="O67" s="22"/>
      <x:c r="P67" s="22"/>
      <x:c r="Q67" s="22"/>
    </x:row>
    <x:row r="68">
      <x:c r="A68" s="22" t="n">
        <x:v>65</x:v>
      </x:c>
      <x:c r="B68" s="22"/>
      <x:c r="C68" s="22"/>
      <x:c r="D68" s="22"/>
      <x:c r="E68" s="22"/>
      <x:c r="F68" s="22"/>
      <x:c r="G68" s="22"/>
      <x:c r="H68" s="22"/>
      <x:c r="I68" s="22"/>
      <x:c r="J68" s="22"/>
      <x:c r="K68" s="22"/>
      <x:c r="L68" s="22"/>
      <x:c r="M68" s="22"/>
      <x:c r="N68" s="22"/>
      <x:c r="O68" s="22"/>
      <x:c r="P68" s="22"/>
      <x:c r="Q68" s="22"/>
    </x:row>
    <x:row r="69">
      <x:c r="A69" s="22" t="n">
        <x:v>66</x:v>
      </x:c>
      <x:c r="B69" s="22"/>
      <x:c r="C69" s="22"/>
      <x:c r="D69" s="22"/>
      <x:c r="E69" s="22"/>
      <x:c r="F69" s="22"/>
      <x:c r="G69" s="22"/>
      <x:c r="H69" s="22"/>
      <x:c r="I69" s="22"/>
      <x:c r="J69" s="22"/>
      <x:c r="K69" s="22"/>
      <x:c r="L69" s="22"/>
      <x:c r="M69" s="22"/>
      <x:c r="N69" s="22"/>
      <x:c r="O69" s="22"/>
      <x:c r="P69" s="22"/>
      <x:c r="Q69" s="22"/>
    </x:row>
    <x:row r="70">
      <x:c r="A70" s="22" t="n">
        <x:v>67</x:v>
      </x:c>
      <x:c r="B70" s="22"/>
      <x:c r="C70" s="22"/>
      <x:c r="D70" s="22"/>
      <x:c r="E70" s="22"/>
      <x:c r="F70" s="22"/>
      <x:c r="G70" s="22"/>
      <x:c r="H70" s="22"/>
      <x:c r="I70" s="22"/>
      <x:c r="J70" s="22"/>
      <x:c r="K70" s="22"/>
      <x:c r="L70" s="22"/>
      <x:c r="M70" s="22"/>
      <x:c r="N70" s="22"/>
      <x:c r="O70" s="22"/>
      <x:c r="P70" s="22"/>
      <x:c r="Q70" s="22"/>
    </x:row>
    <x:row r="71">
      <x:c r="A71" s="22" t="n">
        <x:v>68</x:v>
      </x:c>
      <x:c r="B71" s="22"/>
      <x:c r="C71" s="22"/>
      <x:c r="D71" s="22"/>
      <x:c r="E71" s="22"/>
      <x:c r="F71" s="22"/>
      <x:c r="G71" s="22"/>
      <x:c r="H71" s="22"/>
      <x:c r="I71" s="22"/>
      <x:c r="J71" s="22"/>
      <x:c r="K71" s="22"/>
      <x:c r="L71" s="22"/>
      <x:c r="M71" s="22"/>
      <x:c r="N71" s="22"/>
      <x:c r="O71" s="22"/>
      <x:c r="P71" s="22"/>
      <x:c r="Q71" s="22"/>
    </x:row>
    <x:row r="72">
      <x:c r="A72" s="22" t="n">
        <x:v>69</x:v>
      </x:c>
      <x:c r="B72" s="22"/>
      <x:c r="C72" s="22"/>
      <x:c r="D72" s="22"/>
      <x:c r="E72" s="22"/>
      <x:c r="F72" s="22"/>
      <x:c r="G72" s="22"/>
      <x:c r="H72" s="22"/>
      <x:c r="I72" s="22"/>
      <x:c r="J72" s="22"/>
      <x:c r="K72" s="22"/>
      <x:c r="L72" s="22"/>
      <x:c r="M72" s="22"/>
      <x:c r="N72" s="22"/>
      <x:c r="O72" s="22"/>
      <x:c r="P72" s="22"/>
      <x:c r="Q72" s="22"/>
    </x:row>
    <x:row r="73">
      <x:c r="A73" s="22" t="n">
        <x:v>70</x:v>
      </x:c>
      <x:c r="B73" s="22"/>
      <x:c r="C73" s="22"/>
      <x:c r="D73" s="22"/>
      <x:c r="E73" s="22"/>
      <x:c r="F73" s="22"/>
      <x:c r="G73" s="22"/>
      <x:c r="H73" s="22"/>
      <x:c r="I73" s="22"/>
      <x:c r="J73" s="22"/>
      <x:c r="K73" s="22"/>
      <x:c r="L73" s="22"/>
      <x:c r="M73" s="22"/>
      <x:c r="N73" s="22"/>
      <x:c r="O73" s="22"/>
      <x:c r="P73" s="22"/>
      <x:c r="Q73" s="22"/>
    </x:row>
    <x:row r="74">
      <x:c r="A74" s="22" t="n">
        <x:v>71</x:v>
      </x:c>
      <x:c r="B74" s="22"/>
      <x:c r="C74" s="22"/>
      <x:c r="D74" s="22"/>
      <x:c r="E74" s="22"/>
      <x:c r="F74" s="22"/>
      <x:c r="G74" s="22"/>
      <x:c r="H74" s="22"/>
      <x:c r="I74" s="22"/>
      <x:c r="J74" s="22"/>
      <x:c r="K74" s="22"/>
      <x:c r="L74" s="22"/>
      <x:c r="M74" s="22"/>
      <x:c r="N74" s="22"/>
      <x:c r="O74" s="22"/>
      <x:c r="P74" s="22"/>
      <x:c r="Q74" s="22"/>
    </x:row>
    <x:row r="75">
      <x:c r="A75" s="22" t="n">
        <x:v>72</x:v>
      </x:c>
      <x:c r="B75" s="22"/>
      <x:c r="C75" s="22"/>
      <x:c r="D75" s="22"/>
      <x:c r="E75" s="22"/>
      <x:c r="F75" s="22"/>
      <x:c r="G75" s="22"/>
      <x:c r="H75" s="22"/>
      <x:c r="I75" s="22"/>
      <x:c r="J75" s="22"/>
      <x:c r="K75" s="22"/>
      <x:c r="L75" s="22"/>
      <x:c r="M75" s="22"/>
      <x:c r="N75" s="22"/>
      <x:c r="O75" s="22"/>
      <x:c r="P75" s="22"/>
      <x:c r="Q75" s="22"/>
    </x:row>
    <x:row r="76">
      <x:c r="A76" s="22" t="n">
        <x:v>73</x:v>
      </x:c>
      <x:c r="B76" s="22"/>
      <x:c r="C76" s="22"/>
      <x:c r="D76" s="22"/>
      <x:c r="E76" s="22"/>
      <x:c r="F76" s="22"/>
      <x:c r="G76" s="22"/>
      <x:c r="H76" s="22"/>
      <x:c r="I76" s="22"/>
      <x:c r="J76" s="22"/>
      <x:c r="K76" s="22"/>
      <x:c r="L76" s="22"/>
      <x:c r="M76" s="22"/>
      <x:c r="N76" s="22"/>
      <x:c r="O76" s="22"/>
      <x:c r="P76" s="22"/>
      <x:c r="Q76" s="22"/>
    </x:row>
    <x:row r="77">
      <x:c r="A77" s="22" t="n">
        <x:v>74</x:v>
      </x:c>
      <x:c r="B77" s="22"/>
      <x:c r="C77" s="22"/>
      <x:c r="D77" s="22"/>
      <x:c r="E77" s="22"/>
      <x:c r="F77" s="22"/>
      <x:c r="G77" s="22"/>
      <x:c r="H77" s="22"/>
      <x:c r="I77" s="22"/>
      <x:c r="J77" s="22"/>
      <x:c r="K77" s="22"/>
      <x:c r="L77" s="22"/>
      <x:c r="M77" s="22"/>
      <x:c r="N77" s="22"/>
      <x:c r="O77" s="22"/>
      <x:c r="P77" s="22"/>
      <x:c r="Q77" s="22"/>
    </x:row>
    <x:row r="78">
      <x:c r="A78" s="22" t="n">
        <x:v>75</x:v>
      </x:c>
      <x:c r="B78" s="22"/>
      <x:c r="C78" s="22"/>
      <x:c r="D78" s="22"/>
      <x:c r="E78" s="22"/>
      <x:c r="F78" s="22"/>
      <x:c r="G78" s="22"/>
      <x:c r="H78" s="22"/>
      <x:c r="I78" s="22"/>
      <x:c r="J78" s="22"/>
      <x:c r="K78" s="22"/>
      <x:c r="L78" s="22"/>
      <x:c r="M78" s="22"/>
      <x:c r="N78" s="22"/>
      <x:c r="O78" s="22"/>
      <x:c r="P78" s="22"/>
      <x:c r="Q78" s="22"/>
    </x:row>
    <x:row r="79">
      <x:c r="A79" s="22" t="n">
        <x:v>76</x:v>
      </x:c>
      <x:c r="B79" s="22"/>
      <x:c r="C79" s="22"/>
      <x:c r="D79" s="22"/>
      <x:c r="E79" s="22"/>
      <x:c r="F79" s="22"/>
      <x:c r="G79" s="22"/>
      <x:c r="H79" s="22"/>
      <x:c r="I79" s="22"/>
      <x:c r="J79" s="22"/>
      <x:c r="K79" s="22"/>
      <x:c r="L79" s="22"/>
      <x:c r="M79" s="22"/>
      <x:c r="N79" s="22"/>
      <x:c r="O79" s="22"/>
      <x:c r="P79" s="22"/>
      <x:c r="Q79" s="22"/>
    </x:row>
    <x:row r="80">
      <x:c r="A80" s="22" t="n">
        <x:v>77</x:v>
      </x:c>
      <x:c r="B80" s="22"/>
      <x:c r="C80" s="22"/>
      <x:c r="D80" s="22"/>
      <x:c r="E80" s="22"/>
      <x:c r="F80" s="22"/>
      <x:c r="G80" s="22"/>
      <x:c r="H80" s="22"/>
      <x:c r="I80" s="22"/>
      <x:c r="J80" s="22"/>
      <x:c r="K80" s="22"/>
      <x:c r="L80" s="22"/>
      <x:c r="M80" s="22"/>
      <x:c r="N80" s="22"/>
      <x:c r="O80" s="22"/>
      <x:c r="P80" s="22"/>
      <x:c r="Q80" s="22"/>
    </x:row>
    <x:row r="81">
      <x:c r="A81" s="22" t="n">
        <x:v>78</x:v>
      </x:c>
      <x:c r="B81" s="22"/>
      <x:c r="C81" s="22"/>
      <x:c r="D81" s="22"/>
      <x:c r="E81" s="22"/>
      <x:c r="F81" s="22"/>
      <x:c r="G81" s="22"/>
      <x:c r="H81" s="22"/>
      <x:c r="I81" s="22"/>
      <x:c r="J81" s="22"/>
      <x:c r="K81" s="22"/>
      <x:c r="L81" s="22"/>
      <x:c r="M81" s="22"/>
      <x:c r="N81" s="22"/>
      <x:c r="O81" s="22"/>
      <x:c r="P81" s="22"/>
      <x:c r="Q81" s="22"/>
    </x:row>
    <x:row r="82">
      <x:c r="A82" s="22" t="n">
        <x:v>79</x:v>
      </x:c>
      <x:c r="B82" s="22"/>
      <x:c r="C82" s="22"/>
      <x:c r="D82" s="22"/>
      <x:c r="E82" s="22"/>
      <x:c r="F82" s="22"/>
      <x:c r="G82" s="22"/>
      <x:c r="H82" s="22"/>
      <x:c r="I82" s="22"/>
      <x:c r="J82" s="22"/>
      <x:c r="K82" s="22"/>
      <x:c r="L82" s="22"/>
      <x:c r="M82" s="22"/>
      <x:c r="N82" s="22"/>
      <x:c r="O82" s="22"/>
      <x:c r="P82" s="22"/>
      <x:c r="Q82" s="22"/>
    </x:row>
    <x:row r="83">
      <x:c r="A83" s="22" t="n">
        <x:v>80</x:v>
      </x:c>
      <x:c r="B83" s="22"/>
      <x:c r="C83" s="22"/>
      <x:c r="D83" s="22"/>
      <x:c r="E83" s="22"/>
      <x:c r="F83" s="22"/>
      <x:c r="G83" s="22"/>
      <x:c r="H83" s="22"/>
      <x:c r="I83" s="22"/>
      <x:c r="J83" s="22"/>
      <x:c r="K83" s="22"/>
      <x:c r="L83" s="22"/>
      <x:c r="M83" s="22"/>
      <x:c r="N83" s="22"/>
      <x:c r="O83" s="22"/>
      <x:c r="P83" s="22"/>
      <x:c r="Q83" s="22"/>
    </x:row>
    <x:row r="84">
      <x:c r="A84" s="22" t="n">
        <x:v>81</x:v>
      </x:c>
      <x:c r="B84" s="22"/>
      <x:c r="C84" s="22"/>
      <x:c r="D84" s="22"/>
      <x:c r="E84" s="22"/>
      <x:c r="F84" s="22"/>
      <x:c r="G84" s="22"/>
      <x:c r="H84" s="22"/>
      <x:c r="I84" s="22"/>
      <x:c r="J84" s="22"/>
      <x:c r="K84" s="22"/>
      <x:c r="L84" s="22"/>
      <x:c r="M84" s="22"/>
      <x:c r="N84" s="22"/>
      <x:c r="O84" s="22"/>
      <x:c r="P84" s="22"/>
      <x:c r="Q84" s="22"/>
    </x:row>
    <x:row r="85">
      <x:c r="A85" s="22" t="n">
        <x:v>82</x:v>
      </x:c>
      <x:c r="B85" s="22"/>
      <x:c r="C85" s="22"/>
      <x:c r="D85" s="22"/>
      <x:c r="E85" s="22"/>
      <x:c r="F85" s="22"/>
      <x:c r="G85" s="22"/>
      <x:c r="H85" s="22"/>
      <x:c r="I85" s="22"/>
      <x:c r="J85" s="22"/>
      <x:c r="K85" s="22"/>
      <x:c r="L85" s="22"/>
      <x:c r="M85" s="22"/>
      <x:c r="N85" s="22"/>
      <x:c r="O85" s="22"/>
      <x:c r="P85" s="22"/>
      <x:c r="Q85" s="22"/>
    </x:row>
    <x:row r="86">
      <x:c r="A86" s="22" t="n">
        <x:v>83</x:v>
      </x:c>
      <x:c r="B86" s="22"/>
      <x:c r="C86" s="22"/>
      <x:c r="D86" s="22"/>
      <x:c r="E86" s="22"/>
      <x:c r="F86" s="22"/>
      <x:c r="G86" s="22"/>
      <x:c r="H86" s="22"/>
      <x:c r="I86" s="22"/>
      <x:c r="J86" s="22"/>
      <x:c r="K86" s="22"/>
      <x:c r="L86" s="22"/>
      <x:c r="M86" s="22"/>
      <x:c r="N86" s="22"/>
      <x:c r="O86" s="22"/>
      <x:c r="P86" s="22"/>
      <x:c r="Q86" s="22"/>
    </x:row>
    <x:row r="87">
      <x:c r="A87" s="22" t="n">
        <x:v>84</x:v>
      </x:c>
      <x:c r="B87" s="22"/>
      <x:c r="C87" s="22"/>
      <x:c r="D87" s="22"/>
      <x:c r="E87" s="22"/>
      <x:c r="F87" s="22"/>
      <x:c r="G87" s="22"/>
      <x:c r="H87" s="22"/>
      <x:c r="I87" s="22"/>
      <x:c r="J87" s="22"/>
      <x:c r="K87" s="22"/>
      <x:c r="L87" s="22"/>
      <x:c r="M87" s="22"/>
      <x:c r="N87" s="22"/>
      <x:c r="O87" s="22"/>
      <x:c r="P87" s="22"/>
      <x:c r="Q87" s="22"/>
    </x:row>
    <x:row r="88">
      <x:c r="A88" s="22" t="n">
        <x:v>85</x:v>
      </x:c>
      <x:c r="B88" s="22"/>
      <x:c r="C88" s="22"/>
      <x:c r="D88" s="22"/>
      <x:c r="E88" s="22"/>
      <x:c r="F88" s="22"/>
      <x:c r="G88" s="22"/>
      <x:c r="H88" s="22"/>
      <x:c r="I88" s="22"/>
      <x:c r="J88" s="22"/>
      <x:c r="K88" s="22"/>
      <x:c r="L88" s="22"/>
      <x:c r="M88" s="22"/>
      <x:c r="N88" s="22"/>
      <x:c r="O88" s="22"/>
      <x:c r="P88" s="22"/>
      <x:c r="Q88" s="22"/>
    </x:row>
    <x:row r="89">
      <x:c r="A89" s="22" t="n">
        <x:v>86</x:v>
      </x:c>
      <x:c r="B89" s="22"/>
      <x:c r="C89" s="22"/>
      <x:c r="D89" s="22"/>
      <x:c r="E89" s="22"/>
      <x:c r="F89" s="22"/>
      <x:c r="G89" s="22"/>
      <x:c r="H89" s="22"/>
      <x:c r="I89" s="22"/>
      <x:c r="J89" s="22"/>
      <x:c r="K89" s="22"/>
      <x:c r="L89" s="22"/>
      <x:c r="M89" s="22"/>
      <x:c r="N89" s="22"/>
      <x:c r="O89" s="22"/>
      <x:c r="P89" s="22"/>
      <x:c r="Q89" s="22"/>
    </x:row>
    <x:row r="90">
      <x:c r="A90" s="22" t="n">
        <x:v>87</x:v>
      </x:c>
      <x:c r="B90" s="22"/>
      <x:c r="C90" s="22"/>
      <x:c r="D90" s="22"/>
      <x:c r="E90" s="22"/>
      <x:c r="F90" s="22"/>
      <x:c r="G90" s="22"/>
      <x:c r="H90" s="22"/>
      <x:c r="I90" s="22"/>
      <x:c r="J90" s="22"/>
      <x:c r="K90" s="22"/>
      <x:c r="L90" s="22"/>
      <x:c r="M90" s="22"/>
      <x:c r="N90" s="22"/>
      <x:c r="O90" s="22"/>
      <x:c r="P90" s="22"/>
      <x:c r="Q90" s="22"/>
    </x:row>
    <x:row r="91">
      <x:c r="A91" s="22" t="n">
        <x:v>88</x:v>
      </x:c>
      <x:c r="B91" s="22"/>
      <x:c r="C91" s="22"/>
      <x:c r="D91" s="22"/>
      <x:c r="E91" s="22"/>
      <x:c r="F91" s="22"/>
      <x:c r="G91" s="22"/>
      <x:c r="H91" s="22"/>
      <x:c r="I91" s="22"/>
      <x:c r="J91" s="22"/>
      <x:c r="K91" s="22"/>
      <x:c r="L91" s="22"/>
      <x:c r="M91" s="22"/>
      <x:c r="N91" s="22"/>
      <x:c r="O91" s="22"/>
      <x:c r="P91" s="22"/>
      <x:c r="Q91" s="22"/>
    </x:row>
    <x:row r="92">
      <x:c r="A92" s="22" t="n">
        <x:v>89</x:v>
      </x:c>
      <x:c r="B92" s="22"/>
      <x:c r="C92" s="22"/>
      <x:c r="D92" s="22"/>
      <x:c r="E92" s="22"/>
      <x:c r="F92" s="22"/>
      <x:c r="G92" s="22"/>
      <x:c r="H92" s="22"/>
      <x:c r="I92" s="22"/>
      <x:c r="J92" s="22"/>
      <x:c r="K92" s="22"/>
      <x:c r="L92" s="22"/>
      <x:c r="M92" s="22"/>
      <x:c r="N92" s="22"/>
      <x:c r="O92" s="22"/>
      <x:c r="P92" s="22"/>
      <x:c r="Q92" s="22"/>
    </x:row>
    <x:row r="93">
      <x:c r="A93" s="22" t="n">
        <x:v>90</x:v>
      </x:c>
      <x:c r="B93" s="22"/>
      <x:c r="C93" s="22"/>
      <x:c r="D93" s="22"/>
      <x:c r="E93" s="22"/>
      <x:c r="F93" s="22"/>
      <x:c r="G93" s="22"/>
      <x:c r="H93" s="22"/>
      <x:c r="I93" s="22"/>
      <x:c r="J93" s="22"/>
      <x:c r="K93" s="22"/>
      <x:c r="L93" s="22"/>
      <x:c r="M93" s="22"/>
      <x:c r="N93" s="22"/>
      <x:c r="O93" s="22"/>
      <x:c r="P93" s="22"/>
      <x:c r="Q93" s="22"/>
    </x:row>
    <x:row r="94">
      <x:c r="A94" s="22" t="n">
        <x:v>91</x:v>
      </x:c>
      <x:c r="B94" s="22"/>
      <x:c r="C94" s="22"/>
      <x:c r="D94" s="22"/>
      <x:c r="E94" s="22"/>
      <x:c r="F94" s="22"/>
      <x:c r="G94" s="22"/>
      <x:c r="H94" s="22"/>
      <x:c r="I94" s="22"/>
      <x:c r="J94" s="22"/>
      <x:c r="K94" s="22"/>
      <x:c r="L94" s="22"/>
      <x:c r="M94" s="22"/>
      <x:c r="N94" s="22"/>
      <x:c r="O94" s="22"/>
      <x:c r="P94" s="22"/>
      <x:c r="Q94" s="22"/>
    </x:row>
    <x:row r="95">
      <x:c r="A95" s="22" t="n">
        <x:v>92</x:v>
      </x:c>
      <x:c r="B95" s="22"/>
      <x:c r="C95" s="22"/>
      <x:c r="D95" s="22"/>
      <x:c r="E95" s="22"/>
      <x:c r="F95" s="22"/>
      <x:c r="G95" s="22"/>
      <x:c r="H95" s="22"/>
      <x:c r="I95" s="22"/>
      <x:c r="J95" s="22"/>
      <x:c r="K95" s="22"/>
      <x:c r="L95" s="22"/>
      <x:c r="M95" s="22"/>
      <x:c r="N95" s="22"/>
      <x:c r="O95" s="22"/>
      <x:c r="P95" s="22"/>
      <x:c r="Q95" s="22"/>
    </x:row>
    <x:row r="96">
      <x:c r="A96" s="22" t="n">
        <x:v>93</x:v>
      </x:c>
      <x:c r="B96" s="22"/>
      <x:c r="C96" s="22"/>
      <x:c r="D96" s="22"/>
      <x:c r="E96" s="22"/>
      <x:c r="F96" s="22"/>
      <x:c r="G96" s="22"/>
      <x:c r="H96" s="22"/>
      <x:c r="I96" s="22"/>
      <x:c r="J96" s="22"/>
      <x:c r="K96" s="22"/>
      <x:c r="L96" s="22"/>
      <x:c r="M96" s="22"/>
      <x:c r="N96" s="22"/>
      <x:c r="O96" s="22"/>
      <x:c r="P96" s="22"/>
      <x:c r="Q96" s="22"/>
    </x:row>
    <x:row r="97">
      <x:c r="A97" s="22" t="n">
        <x:v>94</x:v>
      </x:c>
      <x:c r="B97" s="22"/>
      <x:c r="C97" s="22"/>
      <x:c r="D97" s="22"/>
      <x:c r="E97" s="22"/>
      <x:c r="F97" s="22"/>
      <x:c r="G97" s="22"/>
      <x:c r="H97" s="22"/>
      <x:c r="I97" s="22"/>
      <x:c r="J97" s="22"/>
      <x:c r="K97" s="22"/>
      <x:c r="L97" s="22"/>
      <x:c r="M97" s="22"/>
      <x:c r="N97" s="22"/>
      <x:c r="O97" s="22"/>
      <x:c r="P97" s="22"/>
      <x:c r="Q97" s="22"/>
    </x:row>
    <x:row r="98">
      <x:c r="A98" s="22" t="n">
        <x:v>95</x:v>
      </x:c>
      <x:c r="B98" s="22"/>
      <x:c r="C98" s="22"/>
      <x:c r="D98" s="22"/>
      <x:c r="E98" s="22"/>
      <x:c r="F98" s="22"/>
      <x:c r="G98" s="22"/>
      <x:c r="H98" s="22"/>
      <x:c r="I98" s="22"/>
      <x:c r="J98" s="22"/>
      <x:c r="K98" s="22"/>
      <x:c r="L98" s="22"/>
      <x:c r="M98" s="22"/>
      <x:c r="N98" s="22"/>
      <x:c r="O98" s="22"/>
      <x:c r="P98" s="22"/>
      <x:c r="Q98" s="22"/>
    </x:row>
    <x:row r="99">
      <x:c r="A99" s="22" t="n">
        <x:v>96</x:v>
      </x:c>
      <x:c r="B99" s="22"/>
      <x:c r="C99" s="22"/>
      <x:c r="D99" s="22"/>
      <x:c r="E99" s="22"/>
      <x:c r="F99" s="22"/>
      <x:c r="G99" s="22"/>
      <x:c r="H99" s="22"/>
      <x:c r="I99" s="22"/>
      <x:c r="J99" s="22"/>
      <x:c r="K99" s="22"/>
      <x:c r="L99" s="22"/>
      <x:c r="M99" s="22"/>
      <x:c r="N99" s="22"/>
      <x:c r="O99" s="22"/>
      <x:c r="P99" s="22"/>
      <x:c r="Q99" s="22"/>
    </x:row>
    <x:row r="100">
      <x:c r="A100" s="22" t="n">
        <x:v>97</x:v>
      </x:c>
      <x:c r="B100" s="22"/>
      <x:c r="C100" s="22"/>
      <x:c r="D100" s="22"/>
      <x:c r="E100" s="22"/>
      <x:c r="F100" s="22"/>
      <x:c r="G100" s="22"/>
      <x:c r="H100" s="22"/>
      <x:c r="I100" s="22"/>
      <x:c r="J100" s="22"/>
      <x:c r="K100" s="22"/>
      <x:c r="L100" s="22"/>
      <x:c r="M100" s="22"/>
      <x:c r="N100" s="22"/>
      <x:c r="O100" s="22"/>
      <x:c r="P100" s="22"/>
      <x:c r="Q100" s="22"/>
    </x:row>
    <x:row r="101">
      <x:c r="A101" s="22" t="n">
        <x:v>98</x:v>
      </x:c>
      <x:c r="B101" s="22"/>
      <x:c r="C101" s="22"/>
      <x:c r="D101" s="22"/>
      <x:c r="E101" s="22"/>
      <x:c r="F101" s="22"/>
      <x:c r="G101" s="22"/>
      <x:c r="H101" s="22"/>
      <x:c r="I101" s="22"/>
      <x:c r="J101" s="22"/>
      <x:c r="K101" s="22"/>
      <x:c r="L101" s="22"/>
      <x:c r="M101" s="22"/>
      <x:c r="N101" s="22"/>
      <x:c r="O101" s="22"/>
      <x:c r="P101" s="22"/>
      <x:c r="Q101" s="22"/>
    </x:row>
    <x:row r="102">
      <x:c r="A102" s="22" t="n">
        <x:v>99</x:v>
      </x:c>
      <x:c r="B102" s="22"/>
      <x:c r="C102" s="22"/>
      <x:c r="D102" s="22"/>
      <x:c r="E102" s="22"/>
      <x:c r="F102" s="22"/>
      <x:c r="G102" s="22"/>
      <x:c r="H102" s="22"/>
      <x:c r="I102" s="22"/>
      <x:c r="J102" s="22"/>
      <x:c r="K102" s="22"/>
      <x:c r="L102" s="22"/>
      <x:c r="M102" s="22"/>
      <x:c r="N102" s="22"/>
      <x:c r="O102" s="22"/>
      <x:c r="P102" s="22"/>
      <x:c r="Q102" s="22"/>
    </x:row>
    <x:row r="103">
      <x:c r="A103" s="22" t="n">
        <x:v>100</x:v>
      </x:c>
      <x:c r="B103" s="22"/>
      <x:c r="C103" s="22"/>
      <x:c r="D103" s="22"/>
      <x:c r="E103" s="22"/>
      <x:c r="F103" s="22"/>
      <x:c r="G103" s="22"/>
      <x:c r="H103" s="22"/>
      <x:c r="I103" s="22"/>
      <x:c r="J103" s="22"/>
      <x:c r="K103" s="22"/>
      <x:c r="L103" s="22"/>
      <x:c r="M103" s="22"/>
      <x:c r="N103" s="22"/>
      <x:c r="O103" s="22"/>
      <x:c r="P103" s="22"/>
      <x:c r="Q103" s="22"/>
    </x:row>
    <x:row r="104">
      <x:c r="A104" s="22" t="n">
        <x:v>101</x:v>
      </x:c>
      <x:c r="B104" s="22"/>
      <x:c r="C104" s="22"/>
      <x:c r="D104" s="22"/>
      <x:c r="E104" s="22"/>
      <x:c r="F104" s="22"/>
      <x:c r="G104" s="22"/>
      <x:c r="H104" s="22"/>
      <x:c r="I104" s="22"/>
      <x:c r="J104" s="22"/>
      <x:c r="K104" s="22"/>
      <x:c r="L104" s="22"/>
      <x:c r="M104" s="22"/>
      <x:c r="N104" s="22"/>
      <x:c r="O104" s="22"/>
      <x:c r="P104" s="22"/>
      <x:c r="Q104" s="22"/>
    </x:row>
    <x:row r="105">
      <x:c r="A105" s="22" t="n">
        <x:v>102</x:v>
      </x:c>
      <x:c r="B105" s="22"/>
      <x:c r="C105" s="22"/>
      <x:c r="D105" s="22"/>
      <x:c r="E105" s="22"/>
      <x:c r="F105" s="22"/>
      <x:c r="G105" s="22"/>
      <x:c r="H105" s="22"/>
      <x:c r="I105" s="22"/>
      <x:c r="J105" s="22"/>
      <x:c r="K105" s="22"/>
      <x:c r="L105" s="22"/>
      <x:c r="M105" s="22"/>
      <x:c r="N105" s="22"/>
      <x:c r="O105" s="22"/>
      <x:c r="P105" s="22"/>
      <x:c r="Q105" s="22"/>
    </x:row>
    <x:row r="106">
      <x:c r="A106" s="22" t="n">
        <x:v>103</x:v>
      </x:c>
      <x:c r="B106" s="22"/>
      <x:c r="C106" s="22"/>
      <x:c r="D106" s="22"/>
      <x:c r="E106" s="22"/>
      <x:c r="F106" s="22"/>
      <x:c r="G106" s="22"/>
      <x:c r="H106" s="22"/>
      <x:c r="I106" s="22"/>
      <x:c r="J106" s="22"/>
      <x:c r="K106" s="22"/>
      <x:c r="L106" s="22"/>
      <x:c r="M106" s="22"/>
      <x:c r="N106" s="22"/>
      <x:c r="O106" s="22"/>
      <x:c r="P106" s="22"/>
      <x:c r="Q106" s="22"/>
    </x:row>
    <x:row r="107">
      <x:c r="A107" s="22" t="n">
        <x:v>104</x:v>
      </x:c>
      <x:c r="B107" s="22"/>
      <x:c r="C107" s="22"/>
      <x:c r="D107" s="22"/>
      <x:c r="E107" s="22"/>
      <x:c r="F107" s="22"/>
      <x:c r="G107" s="22"/>
      <x:c r="H107" s="22"/>
      <x:c r="I107" s="22"/>
      <x:c r="J107" s="22"/>
      <x:c r="K107" s="22"/>
      <x:c r="L107" s="22"/>
      <x:c r="M107" s="22"/>
      <x:c r="N107" s="22"/>
      <x:c r="O107" s="22"/>
      <x:c r="P107" s="22"/>
      <x:c r="Q107" s="22"/>
    </x:row>
    <x:row r="108">
      <x:c r="A108" s="22" t="n">
        <x:v>105</x:v>
      </x:c>
      <x:c r="B108" s="22"/>
      <x:c r="C108" s="22"/>
      <x:c r="D108" s="22"/>
      <x:c r="E108" s="22"/>
      <x:c r="F108" s="22"/>
      <x:c r="G108" s="22"/>
      <x:c r="H108" s="22"/>
      <x:c r="I108" s="22"/>
      <x:c r="J108" s="22"/>
      <x:c r="K108" s="22"/>
      <x:c r="L108" s="22"/>
      <x:c r="M108" s="22"/>
      <x:c r="N108" s="22"/>
      <x:c r="O108" s="22"/>
      <x:c r="P108" s="22"/>
      <x:c r="Q108" s="22"/>
    </x:row>
    <x:row r="109">
      <x:c r="A109" s="22" t="n">
        <x:v>106</x:v>
      </x:c>
      <x:c r="B109" s="22"/>
      <x:c r="C109" s="22"/>
      <x:c r="D109" s="22"/>
      <x:c r="E109" s="22"/>
      <x:c r="F109" s="22"/>
      <x:c r="G109" s="22"/>
      <x:c r="H109" s="22"/>
      <x:c r="I109" s="22"/>
      <x:c r="J109" s="22"/>
      <x:c r="K109" s="22"/>
      <x:c r="L109" s="22"/>
      <x:c r="M109" s="22"/>
      <x:c r="N109" s="22"/>
      <x:c r="O109" s="22"/>
      <x:c r="P109" s="22"/>
      <x:c r="Q109" s="22"/>
    </x:row>
    <x:row r="110">
      <x:c r="A110" s="22" t="n">
        <x:v>107</x:v>
      </x:c>
      <x:c r="B110" s="22"/>
      <x:c r="C110" s="22"/>
      <x:c r="D110" s="22"/>
      <x:c r="E110" s="22"/>
      <x:c r="F110" s="22"/>
      <x:c r="G110" s="22"/>
      <x:c r="H110" s="22"/>
      <x:c r="I110" s="22"/>
      <x:c r="J110" s="22"/>
      <x:c r="K110" s="22"/>
      <x:c r="L110" s="22"/>
      <x:c r="M110" s="22"/>
      <x:c r="N110" s="22"/>
      <x:c r="O110" s="22"/>
      <x:c r="P110" s="22"/>
      <x:c r="Q110" s="22"/>
    </x:row>
    <x:row r="111">
      <x:c r="A111" s="22" t="n">
        <x:v>108</x:v>
      </x:c>
      <x:c r="B111" s="22"/>
      <x:c r="C111" s="22"/>
      <x:c r="D111" s="22"/>
      <x:c r="E111" s="22"/>
      <x:c r="F111" s="22"/>
      <x:c r="G111" s="22"/>
      <x:c r="H111" s="22"/>
      <x:c r="I111" s="22"/>
      <x:c r="J111" s="22"/>
      <x:c r="K111" s="22"/>
      <x:c r="L111" s="22"/>
      <x:c r="M111" s="22"/>
      <x:c r="N111" s="22"/>
      <x:c r="O111" s="22"/>
      <x:c r="P111" s="22"/>
      <x:c r="Q111" s="22"/>
    </x:row>
    <x:row r="112">
      <x:c r="A112" s="22" t="n">
        <x:v>109</x:v>
      </x:c>
      <x:c r="B112" s="22"/>
      <x:c r="C112" s="22"/>
      <x:c r="D112" s="22"/>
      <x:c r="E112" s="22"/>
      <x:c r="F112" s="22"/>
      <x:c r="G112" s="22"/>
      <x:c r="H112" s="22"/>
      <x:c r="I112" s="22"/>
      <x:c r="J112" s="22"/>
      <x:c r="K112" s="22"/>
      <x:c r="L112" s="22"/>
      <x:c r="M112" s="22"/>
      <x:c r="N112" s="22"/>
      <x:c r="O112" s="22"/>
      <x:c r="P112" s="22"/>
      <x:c r="Q112" s="22"/>
    </x:row>
    <x:row r="113">
      <x:c r="A113" s="22" t="n">
        <x:v>110</x:v>
      </x:c>
      <x:c r="B113" s="22"/>
      <x:c r="C113" s="22"/>
      <x:c r="D113" s="22"/>
      <x:c r="E113" s="22"/>
      <x:c r="F113" s="22"/>
      <x:c r="G113" s="22"/>
      <x:c r="H113" s="22"/>
      <x:c r="I113" s="22"/>
      <x:c r="J113" s="22"/>
      <x:c r="K113" s="22"/>
      <x:c r="L113" s="22"/>
      <x:c r="M113" s="22"/>
      <x:c r="N113" s="22"/>
      <x:c r="O113" s="22"/>
      <x:c r="P113" s="22"/>
      <x:c r="Q113" s="22"/>
    </x:row>
    <x:row r="114">
      <x:c r="A114" s="22" t="n">
        <x:v>111</x:v>
      </x:c>
      <x:c r="B114" s="22"/>
      <x:c r="C114" s="22"/>
      <x:c r="D114" s="22"/>
      <x:c r="E114" s="22"/>
      <x:c r="F114" s="22"/>
      <x:c r="G114" s="22"/>
      <x:c r="H114" s="22"/>
      <x:c r="I114" s="22"/>
      <x:c r="J114" s="22"/>
      <x:c r="K114" s="22"/>
      <x:c r="L114" s="22"/>
      <x:c r="M114" s="22"/>
      <x:c r="N114" s="22"/>
      <x:c r="O114" s="22"/>
      <x:c r="P114" s="22"/>
      <x:c r="Q114" s="22"/>
    </x:row>
    <x:row r="115">
      <x:c r="A115" s="22" t="n">
        <x:v>112</x:v>
      </x:c>
      <x:c r="B115" s="22"/>
      <x:c r="C115" s="22"/>
      <x:c r="D115" s="22"/>
      <x:c r="E115" s="22"/>
      <x:c r="F115" s="22"/>
      <x:c r="G115" s="22"/>
      <x:c r="H115" s="22"/>
      <x:c r="I115" s="22"/>
      <x:c r="J115" s="22"/>
      <x:c r="K115" s="22"/>
      <x:c r="L115" s="22"/>
      <x:c r="M115" s="22"/>
      <x:c r="N115" s="22"/>
      <x:c r="O115" s="22"/>
      <x:c r="P115" s="22"/>
      <x:c r="Q115" s="22"/>
    </x:row>
    <x:row r="116">
      <x:c r="A116" s="22" t="n">
        <x:v>113</x:v>
      </x:c>
      <x:c r="B116" s="22"/>
      <x:c r="C116" s="22"/>
      <x:c r="D116" s="22"/>
      <x:c r="E116" s="22"/>
      <x:c r="F116" s="22"/>
      <x:c r="G116" s="22"/>
      <x:c r="H116" s="22"/>
      <x:c r="I116" s="22"/>
      <x:c r="J116" s="22"/>
      <x:c r="K116" s="22"/>
      <x:c r="L116" s="22"/>
      <x:c r="M116" s="22"/>
      <x:c r="N116" s="22"/>
      <x:c r="O116" s="22"/>
      <x:c r="P116" s="22"/>
      <x:c r="Q116" s="22"/>
    </x:row>
    <x:row r="117">
      <x:c r="A117" s="22" t="n">
        <x:v>114</x:v>
      </x:c>
      <x:c r="B117" s="22"/>
      <x:c r="C117" s="22"/>
      <x:c r="D117" s="22"/>
      <x:c r="E117" s="22"/>
      <x:c r="F117" s="22"/>
      <x:c r="G117" s="22"/>
      <x:c r="H117" s="22"/>
      <x:c r="I117" s="22"/>
      <x:c r="J117" s="22"/>
      <x:c r="K117" s="22"/>
      <x:c r="L117" s="22"/>
      <x:c r="M117" s="22"/>
      <x:c r="N117" s="22"/>
      <x:c r="O117" s="22"/>
      <x:c r="P117" s="22"/>
      <x:c r="Q117" s="22"/>
    </x:row>
    <x:row r="118">
      <x:c r="A118" s="22" t="n">
        <x:v>115</x:v>
      </x:c>
      <x:c r="B118" s="22"/>
      <x:c r="C118" s="22"/>
      <x:c r="D118" s="22"/>
      <x:c r="E118" s="22"/>
      <x:c r="F118" s="22"/>
      <x:c r="G118" s="22"/>
      <x:c r="H118" s="22"/>
      <x:c r="I118" s="22"/>
      <x:c r="J118" s="22"/>
      <x:c r="K118" s="22"/>
      <x:c r="L118" s="22"/>
      <x:c r="M118" s="22"/>
      <x:c r="N118" s="22"/>
      <x:c r="O118" s="22"/>
      <x:c r="P118" s="22"/>
      <x:c r="Q118" s="22"/>
    </x:row>
    <x:row r="119">
      <x:c r="A119" s="22" t="n">
        <x:v>116</x:v>
      </x:c>
      <x:c r="B119" s="22"/>
      <x:c r="C119" s="22"/>
      <x:c r="D119" s="22"/>
      <x:c r="E119" s="22"/>
      <x:c r="F119" s="22"/>
      <x:c r="G119" s="22"/>
      <x:c r="H119" s="22"/>
      <x:c r="I119" s="22"/>
      <x:c r="J119" s="22"/>
      <x:c r="K119" s="22"/>
      <x:c r="L119" s="22"/>
      <x:c r="M119" s="22"/>
      <x:c r="N119" s="22"/>
      <x:c r="O119" s="22"/>
      <x:c r="P119" s="22"/>
      <x:c r="Q119" s="22"/>
    </x:row>
    <x:row r="120">
      <x:c r="A120" s="22" t="n">
        <x:v>117</x:v>
      </x:c>
      <x:c r="B120" s="22"/>
      <x:c r="C120" s="22"/>
      <x:c r="D120" s="22"/>
      <x:c r="E120" s="22"/>
      <x:c r="F120" s="22"/>
      <x:c r="G120" s="22"/>
      <x:c r="H120" s="22"/>
      <x:c r="I120" s="22"/>
      <x:c r="J120" s="22"/>
      <x:c r="K120" s="22"/>
      <x:c r="L120" s="22"/>
      <x:c r="M120" s="22"/>
      <x:c r="N120" s="22"/>
      <x:c r="O120" s="22"/>
      <x:c r="P120" s="22"/>
      <x:c r="Q120" s="22"/>
    </x:row>
    <x:row r="121">
      <x:c r="A121" s="22" t="n">
        <x:v>118</x:v>
      </x:c>
      <x:c r="B121" s="22"/>
      <x:c r="C121" s="22"/>
      <x:c r="D121" s="22"/>
      <x:c r="E121" s="22"/>
      <x:c r="F121" s="22"/>
      <x:c r="G121" s="22"/>
      <x:c r="H121" s="22"/>
      <x:c r="I121" s="22"/>
      <x:c r="J121" s="22"/>
      <x:c r="K121" s="22"/>
      <x:c r="L121" s="22"/>
      <x:c r="M121" s="22"/>
      <x:c r="N121" s="22"/>
      <x:c r="O121" s="22"/>
      <x:c r="P121" s="22"/>
      <x:c r="Q121" s="22"/>
    </x:row>
    <x:row r="122">
      <x:c r="A122" s="22" t="n">
        <x:v>119</x:v>
      </x:c>
      <x:c r="B122" s="22"/>
      <x:c r="C122" s="22"/>
      <x:c r="D122" s="22"/>
      <x:c r="E122" s="22"/>
      <x:c r="F122" s="22"/>
      <x:c r="G122" s="22"/>
      <x:c r="H122" s="22"/>
      <x:c r="I122" s="22"/>
      <x:c r="J122" s="22"/>
      <x:c r="K122" s="22"/>
      <x:c r="L122" s="22"/>
      <x:c r="M122" s="22"/>
      <x:c r="N122" s="22"/>
      <x:c r="O122" s="22"/>
      <x:c r="P122" s="22"/>
      <x:c r="Q122" s="22"/>
    </x:row>
    <x:row r="123">
      <x:c r="A123" s="22" t="n">
        <x:v>120</x:v>
      </x:c>
      <x:c r="B123" s="22"/>
      <x:c r="C123" s="22"/>
      <x:c r="D123" s="22"/>
      <x:c r="E123" s="22"/>
      <x:c r="F123" s="22"/>
      <x:c r="G123" s="22"/>
      <x:c r="H123" s="22"/>
      <x:c r="I123" s="22"/>
      <x:c r="J123" s="22"/>
      <x:c r="K123" s="22"/>
      <x:c r="L123" s="22"/>
      <x:c r="M123" s="22"/>
      <x:c r="N123" s="22"/>
      <x:c r="O123" s="22"/>
      <x:c r="P123" s="22"/>
      <x:c r="Q123" s="22"/>
    </x:row>
    <x:row r="124">
      <x:c r="A124" s="22" t="n">
        <x:v>121</x:v>
      </x:c>
      <x:c r="B124" s="22"/>
      <x:c r="C124" s="22"/>
      <x:c r="D124" s="22"/>
      <x:c r="E124" s="22"/>
      <x:c r="F124" s="22"/>
      <x:c r="G124" s="22"/>
      <x:c r="H124" s="22"/>
      <x:c r="I124" s="22"/>
      <x:c r="J124" s="22"/>
      <x:c r="K124" s="22"/>
      <x:c r="L124" s="22"/>
      <x:c r="M124" s="22"/>
      <x:c r="N124" s="22"/>
      <x:c r="O124" s="22"/>
      <x:c r="P124" s="22"/>
      <x:c r="Q124" s="22"/>
    </x:row>
    <x:row r="125">
      <x:c r="A125" s="22" t="n">
        <x:v>122</x:v>
      </x:c>
      <x:c r="B125" s="22"/>
      <x:c r="C125" s="22"/>
      <x:c r="D125" s="22"/>
      <x:c r="E125" s="22"/>
      <x:c r="F125" s="22"/>
      <x:c r="G125" s="22"/>
      <x:c r="H125" s="22"/>
      <x:c r="I125" s="22"/>
      <x:c r="J125" s="22"/>
      <x:c r="K125" s="22"/>
      <x:c r="L125" s="22"/>
      <x:c r="M125" s="22"/>
      <x:c r="N125" s="22"/>
      <x:c r="O125" s="22"/>
      <x:c r="P125" s="22"/>
      <x:c r="Q125" s="22"/>
    </x:row>
    <x:row r="126">
      <x:c r="A126" s="22" t="n">
        <x:v>123</x:v>
      </x:c>
      <x:c r="B126" s="22"/>
      <x:c r="C126" s="22"/>
      <x:c r="D126" s="22"/>
      <x:c r="E126" s="22"/>
      <x:c r="F126" s="22"/>
      <x:c r="G126" s="22"/>
      <x:c r="H126" s="22"/>
      <x:c r="I126" s="22"/>
      <x:c r="J126" s="22"/>
      <x:c r="K126" s="22"/>
      <x:c r="L126" s="22"/>
      <x:c r="M126" s="22"/>
      <x:c r="N126" s="22"/>
      <x:c r="O126" s="22"/>
      <x:c r="P126" s="22"/>
      <x:c r="Q126" s="22"/>
    </x:row>
    <x:row r="127">
      <x:c r="A127" s="22" t="n">
        <x:v>124</x:v>
      </x:c>
      <x:c r="B127" s="22"/>
      <x:c r="C127" s="22"/>
      <x:c r="D127" s="22"/>
      <x:c r="E127" s="22"/>
      <x:c r="F127" s="22"/>
      <x:c r="G127" s="22"/>
      <x:c r="H127" s="22"/>
      <x:c r="I127" s="22"/>
      <x:c r="J127" s="22"/>
      <x:c r="K127" s="22"/>
      <x:c r="L127" s="22"/>
      <x:c r="M127" s="22"/>
      <x:c r="N127" s="22"/>
      <x:c r="O127" s="22"/>
      <x:c r="P127" s="22"/>
      <x:c r="Q127" s="22"/>
    </x:row>
    <x:row r="128">
      <x:c r="A128" s="22" t="n">
        <x:v>125</x:v>
      </x:c>
      <x:c r="B128" s="22"/>
      <x:c r="C128" s="22"/>
      <x:c r="D128" s="22"/>
      <x:c r="E128" s="22"/>
      <x:c r="F128" s="22"/>
      <x:c r="G128" s="22"/>
      <x:c r="H128" s="22"/>
      <x:c r="I128" s="22"/>
      <x:c r="J128" s="22"/>
      <x:c r="K128" s="22"/>
      <x:c r="L128" s="22"/>
      <x:c r="M128" s="22"/>
      <x:c r="N128" s="22"/>
      <x:c r="O128" s="22"/>
      <x:c r="P128" s="22"/>
      <x:c r="Q128" s="22"/>
    </x:row>
    <x:row r="129">
      <x:c r="A129" s="22" t="n">
        <x:v>126</x:v>
      </x:c>
      <x:c r="B129" s="22"/>
      <x:c r="C129" s="22"/>
      <x:c r="D129" s="22"/>
      <x:c r="E129" s="22"/>
      <x:c r="F129" s="22"/>
      <x:c r="G129" s="22"/>
      <x:c r="H129" s="22"/>
      <x:c r="I129" s="22"/>
      <x:c r="J129" s="22"/>
      <x:c r="K129" s="22"/>
      <x:c r="L129" s="22"/>
      <x:c r="M129" s="22"/>
      <x:c r="N129" s="22"/>
      <x:c r="O129" s="22"/>
      <x:c r="P129" s="22"/>
      <x:c r="Q129" s="22"/>
    </x:row>
    <x:row r="130">
      <x:c r="A130" s="22" t="n">
        <x:v>127</x:v>
      </x:c>
      <x:c r="B130" s="22"/>
      <x:c r="C130" s="22"/>
      <x:c r="D130" s="22"/>
      <x:c r="E130" s="22"/>
      <x:c r="F130" s="22"/>
      <x:c r="G130" s="22"/>
      <x:c r="H130" s="22"/>
      <x:c r="I130" s="22"/>
      <x:c r="J130" s="22"/>
      <x:c r="K130" s="22"/>
      <x:c r="L130" s="22"/>
      <x:c r="M130" s="22"/>
      <x:c r="N130" s="22"/>
      <x:c r="O130" s="22"/>
      <x:c r="P130" s="22"/>
      <x:c r="Q130" s="22"/>
    </x:row>
    <x:row r="131">
      <x:c r="A131" s="22" t="n">
        <x:v>128</x:v>
      </x:c>
      <x:c r="B131" s="22"/>
      <x:c r="C131" s="22"/>
      <x:c r="D131" s="22"/>
      <x:c r="E131" s="22"/>
      <x:c r="F131" s="22"/>
      <x:c r="G131" s="22"/>
      <x:c r="H131" s="22"/>
      <x:c r="I131" s="22"/>
      <x:c r="J131" s="22"/>
      <x:c r="K131" s="22"/>
      <x:c r="L131" s="22"/>
      <x:c r="M131" s="22"/>
      <x:c r="N131" s="22"/>
      <x:c r="O131" s="22"/>
      <x:c r="P131" s="22"/>
      <x:c r="Q131" s="22"/>
    </x:row>
    <x:row r="132">
      <x:c r="A132" s="22" t="n">
        <x:v>129</x:v>
      </x:c>
      <x:c r="B132" s="22"/>
      <x:c r="C132" s="22"/>
      <x:c r="D132" s="22"/>
      <x:c r="E132" s="22"/>
      <x:c r="F132" s="22"/>
      <x:c r="G132" s="22"/>
      <x:c r="H132" s="22"/>
      <x:c r="I132" s="22"/>
      <x:c r="J132" s="22"/>
      <x:c r="K132" s="22"/>
      <x:c r="L132" s="22"/>
      <x:c r="M132" s="22"/>
      <x:c r="N132" s="22"/>
      <x:c r="O132" s="22"/>
      <x:c r="P132" s="22"/>
      <x:c r="Q132" s="22"/>
    </x:row>
    <x:row r="133">
      <x:c r="A133" s="22" t="n">
        <x:v>130</x:v>
      </x:c>
      <x:c r="B133" s="22"/>
      <x:c r="C133" s="22"/>
      <x:c r="D133" s="22"/>
      <x:c r="E133" s="22"/>
      <x:c r="F133" s="22"/>
      <x:c r="G133" s="22"/>
      <x:c r="H133" s="22"/>
      <x:c r="I133" s="22"/>
      <x:c r="J133" s="22"/>
      <x:c r="K133" s="22"/>
      <x:c r="L133" s="22"/>
      <x:c r="M133" s="22"/>
      <x:c r="N133" s="22"/>
      <x:c r="O133" s="22"/>
      <x:c r="P133" s="22"/>
      <x:c r="Q133" s="22"/>
    </x:row>
    <x:row r="134">
      <x:c r="A134" s="22" t="n">
        <x:v>131</x:v>
      </x:c>
      <x:c r="B134" s="22"/>
      <x:c r="C134" s="22"/>
      <x:c r="D134" s="22"/>
      <x:c r="E134" s="22"/>
      <x:c r="F134" s="22"/>
      <x:c r="G134" s="22"/>
      <x:c r="H134" s="22"/>
      <x:c r="I134" s="22"/>
      <x:c r="J134" s="22"/>
      <x:c r="K134" s="22"/>
      <x:c r="L134" s="22"/>
      <x:c r="M134" s="22"/>
      <x:c r="N134" s="22"/>
      <x:c r="O134" s="22"/>
      <x:c r="P134" s="22"/>
      <x:c r="Q134" s="22"/>
    </x:row>
    <x:row r="135">
      <x:c r="A135" s="22" t="n">
        <x:v>132</x:v>
      </x:c>
      <x:c r="B135" s="22"/>
      <x:c r="C135" s="22"/>
      <x:c r="D135" s="22"/>
      <x:c r="E135" s="22"/>
      <x:c r="F135" s="22"/>
      <x:c r="G135" s="22"/>
      <x:c r="H135" s="22"/>
      <x:c r="I135" s="22"/>
      <x:c r="J135" s="22"/>
      <x:c r="K135" s="22"/>
      <x:c r="L135" s="22"/>
      <x:c r="M135" s="22"/>
      <x:c r="N135" s="22"/>
      <x:c r="O135" s="22"/>
      <x:c r="P135" s="22"/>
      <x:c r="Q135" s="22"/>
    </x:row>
    <x:row r="136">
      <x:c r="A136" s="22" t="n">
        <x:v>133</x:v>
      </x:c>
      <x:c r="B136" s="22"/>
      <x:c r="C136" s="22"/>
      <x:c r="D136" s="22"/>
      <x:c r="E136" s="22"/>
      <x:c r="F136" s="22"/>
      <x:c r="G136" s="22"/>
      <x:c r="H136" s="22"/>
      <x:c r="I136" s="22"/>
      <x:c r="J136" s="22"/>
      <x:c r="K136" s="22"/>
      <x:c r="L136" s="22"/>
      <x:c r="M136" s="22"/>
      <x:c r="N136" s="22"/>
      <x:c r="O136" s="22"/>
      <x:c r="P136" s="22"/>
      <x:c r="Q136" s="22"/>
    </x:row>
    <x:row r="137">
      <x:c r="A137" s="22" t="n">
        <x:v>134</x:v>
      </x:c>
      <x:c r="B137" s="22"/>
      <x:c r="C137" s="22"/>
      <x:c r="D137" s="22"/>
      <x:c r="E137" s="22"/>
      <x:c r="F137" s="22"/>
      <x:c r="G137" s="22"/>
      <x:c r="H137" s="22"/>
      <x:c r="I137" s="22"/>
      <x:c r="J137" s="22"/>
      <x:c r="K137" s="22"/>
      <x:c r="L137" s="22"/>
      <x:c r="M137" s="22"/>
      <x:c r="N137" s="22"/>
      <x:c r="O137" s="22"/>
      <x:c r="P137" s="22"/>
      <x:c r="Q137" s="22"/>
    </x:row>
    <x:row r="138">
      <x:c r="A138" s="22" t="n">
        <x:v>135</x:v>
      </x:c>
      <x:c r="B138" s="22"/>
      <x:c r="C138" s="22"/>
      <x:c r="D138" s="22"/>
      <x:c r="E138" s="22"/>
      <x:c r="F138" s="22"/>
      <x:c r="G138" s="22"/>
      <x:c r="H138" s="22"/>
      <x:c r="I138" s="22"/>
      <x:c r="J138" s="22"/>
      <x:c r="K138" s="22"/>
      <x:c r="L138" s="22"/>
      <x:c r="M138" s="22"/>
      <x:c r="N138" s="22"/>
      <x:c r="O138" s="22"/>
      <x:c r="P138" s="22"/>
      <x:c r="Q138" s="22"/>
    </x:row>
    <x:row r="139">
      <x:c r="A139" s="22" t="n">
        <x:v>136</x:v>
      </x:c>
      <x:c r="B139" s="22"/>
      <x:c r="C139" s="22"/>
      <x:c r="D139" s="22"/>
      <x:c r="E139" s="22"/>
      <x:c r="F139" s="22"/>
      <x:c r="G139" s="22"/>
      <x:c r="H139" s="22"/>
      <x:c r="I139" s="22"/>
      <x:c r="J139" s="22"/>
      <x:c r="K139" s="22"/>
      <x:c r="L139" s="22"/>
      <x:c r="M139" s="22"/>
      <x:c r="N139" s="22"/>
      <x:c r="O139" s="22"/>
      <x:c r="P139" s="22"/>
      <x:c r="Q139" s="22"/>
    </x:row>
    <x:row r="140">
      <x:c r="A140" s="22" t="n">
        <x:v>137</x:v>
      </x:c>
      <x:c r="B140" s="22"/>
      <x:c r="C140" s="22"/>
      <x:c r="D140" s="22"/>
      <x:c r="E140" s="22"/>
      <x:c r="F140" s="22"/>
      <x:c r="G140" s="22"/>
      <x:c r="H140" s="22"/>
      <x:c r="I140" s="22"/>
      <x:c r="J140" s="22"/>
      <x:c r="K140" s="22"/>
      <x:c r="L140" s="22"/>
      <x:c r="M140" s="22"/>
      <x:c r="N140" s="22"/>
      <x:c r="O140" s="22"/>
      <x:c r="P140" s="22"/>
      <x:c r="Q140" s="22"/>
    </x:row>
    <x:row r="141">
      <x:c r="A141" s="22" t="n">
        <x:v>138</x:v>
      </x:c>
      <x:c r="B141" s="22"/>
      <x:c r="C141" s="22"/>
      <x:c r="D141" s="22"/>
      <x:c r="E141" s="22"/>
      <x:c r="F141" s="22"/>
      <x:c r="G141" s="22"/>
      <x:c r="H141" s="22"/>
      <x:c r="I141" s="22"/>
      <x:c r="J141" s="22"/>
      <x:c r="K141" s="22"/>
      <x:c r="L141" s="22"/>
      <x:c r="M141" s="22"/>
      <x:c r="N141" s="22"/>
      <x:c r="O141" s="22"/>
      <x:c r="P141" s="22"/>
      <x:c r="Q141" s="22"/>
    </x:row>
    <x:row r="142">
      <x:c r="A142" s="22" t="n">
        <x:v>139</x:v>
      </x:c>
      <x:c r="B142" s="22"/>
      <x:c r="C142" s="22"/>
      <x:c r="D142" s="22"/>
      <x:c r="E142" s="22"/>
      <x:c r="F142" s="22"/>
      <x:c r="G142" s="22"/>
      <x:c r="H142" s="22"/>
      <x:c r="I142" s="22"/>
      <x:c r="J142" s="22"/>
      <x:c r="K142" s="22"/>
      <x:c r="L142" s="22"/>
      <x:c r="M142" s="22"/>
      <x:c r="N142" s="22"/>
      <x:c r="O142" s="22"/>
      <x:c r="P142" s="22"/>
      <x:c r="Q142" s="22"/>
    </x:row>
    <x:row r="143">
      <x:c r="A143" s="22" t="n">
        <x:v>140</x:v>
      </x:c>
      <x:c r="B143" s="22"/>
      <x:c r="C143" s="22"/>
      <x:c r="D143" s="22"/>
      <x:c r="E143" s="22"/>
      <x:c r="F143" s="22"/>
      <x:c r="G143" s="22"/>
      <x:c r="H143" s="22"/>
      <x:c r="I143" s="22"/>
      <x:c r="J143" s="22"/>
      <x:c r="K143" s="22"/>
      <x:c r="L143" s="22"/>
      <x:c r="M143" s="22"/>
      <x:c r="N143" s="22"/>
      <x:c r="O143" s="22"/>
      <x:c r="P143" s="22"/>
      <x:c r="Q143" s="22"/>
    </x:row>
    <x:row r="144">
      <x:c r="A144" s="22" t="n">
        <x:v>141</x:v>
      </x:c>
      <x:c r="B144" s="22"/>
      <x:c r="C144" s="22"/>
      <x:c r="D144" s="22"/>
      <x:c r="E144" s="22"/>
      <x:c r="F144" s="22"/>
      <x:c r="G144" s="22"/>
      <x:c r="H144" s="22"/>
      <x:c r="I144" s="22"/>
      <x:c r="J144" s="22"/>
      <x:c r="K144" s="22"/>
      <x:c r="L144" s="22"/>
      <x:c r="M144" s="22"/>
      <x:c r="N144" s="22"/>
      <x:c r="O144" s="22"/>
      <x:c r="P144" s="22"/>
      <x:c r="Q144" s="22"/>
    </x:row>
    <x:row r="145">
      <x:c r="A145" s="22" t="n">
        <x:v>142</x:v>
      </x:c>
      <x:c r="B145" s="22"/>
      <x:c r="C145" s="22"/>
      <x:c r="D145" s="22"/>
      <x:c r="E145" s="22"/>
      <x:c r="F145" s="22"/>
      <x:c r="G145" s="22"/>
      <x:c r="H145" s="22"/>
      <x:c r="I145" s="22"/>
      <x:c r="J145" s="22"/>
      <x:c r="K145" s="22"/>
      <x:c r="L145" s="22"/>
      <x:c r="M145" s="22"/>
      <x:c r="N145" s="22"/>
      <x:c r="O145" s="22"/>
      <x:c r="P145" s="22"/>
      <x:c r="Q145" s="22"/>
    </x:row>
    <x:row r="146">
      <x:c r="A146" s="22" t="n">
        <x:v>143</x:v>
      </x:c>
      <x:c r="B146" s="22"/>
      <x:c r="C146" s="22"/>
      <x:c r="D146" s="22"/>
      <x:c r="E146" s="22"/>
      <x:c r="F146" s="22"/>
      <x:c r="G146" s="22"/>
      <x:c r="H146" s="22"/>
      <x:c r="I146" s="22"/>
      <x:c r="J146" s="22"/>
      <x:c r="K146" s="22"/>
      <x:c r="L146" s="22"/>
      <x:c r="M146" s="22"/>
      <x:c r="N146" s="22"/>
      <x:c r="O146" s="22"/>
      <x:c r="P146" s="22"/>
      <x:c r="Q146" s="22"/>
    </x:row>
    <x:row r="147">
      <x:c r="A147" s="22" t="n">
        <x:v>144</x:v>
      </x:c>
      <x:c r="B147" s="22"/>
      <x:c r="C147" s="22"/>
      <x:c r="D147" s="22"/>
      <x:c r="E147" s="22"/>
      <x:c r="F147" s="22"/>
      <x:c r="G147" s="22"/>
      <x:c r="H147" s="22"/>
      <x:c r="I147" s="22"/>
      <x:c r="J147" s="22"/>
      <x:c r="K147" s="22"/>
      <x:c r="L147" s="22"/>
      <x:c r="M147" s="22"/>
      <x:c r="N147" s="22"/>
      <x:c r="O147" s="22"/>
      <x:c r="P147" s="22"/>
      <x:c r="Q147" s="22"/>
    </x:row>
    <x:row r="148">
      <x:c r="A148" s="22" t="n">
        <x:v>145</x:v>
      </x:c>
      <x:c r="B148" s="22"/>
      <x:c r="C148" s="22"/>
      <x:c r="D148" s="22"/>
      <x:c r="E148" s="22"/>
      <x:c r="F148" s="22"/>
      <x:c r="G148" s="22"/>
      <x:c r="H148" s="22"/>
      <x:c r="I148" s="22"/>
      <x:c r="J148" s="22"/>
      <x:c r="K148" s="22"/>
      <x:c r="L148" s="22"/>
      <x:c r="M148" s="22"/>
      <x:c r="N148" s="22"/>
      <x:c r="O148" s="22"/>
      <x:c r="P148" s="22"/>
      <x:c r="Q148" s="22"/>
    </x:row>
    <x:row r="149">
      <x:c r="A149" s="22" t="n">
        <x:v>146</x:v>
      </x:c>
      <x:c r="B149" s="22"/>
      <x:c r="C149" s="22"/>
      <x:c r="D149" s="22"/>
      <x:c r="E149" s="22"/>
      <x:c r="F149" s="22"/>
      <x:c r="G149" s="22"/>
      <x:c r="H149" s="22"/>
      <x:c r="I149" s="22"/>
      <x:c r="J149" s="22"/>
      <x:c r="K149" s="22"/>
      <x:c r="L149" s="22"/>
      <x:c r="M149" s="22"/>
      <x:c r="N149" s="22"/>
      <x:c r="O149" s="22"/>
      <x:c r="P149" s="22"/>
      <x:c r="Q149" s="22"/>
    </x:row>
    <x:row r="150">
      <x:c r="A150" s="22" t="n">
        <x:v>147</x:v>
      </x:c>
      <x:c r="B150" s="22"/>
      <x:c r="C150" s="22"/>
      <x:c r="D150" s="22"/>
      <x:c r="E150" s="22"/>
      <x:c r="F150" s="22"/>
      <x:c r="G150" s="22"/>
      <x:c r="H150" s="22"/>
      <x:c r="I150" s="22"/>
      <x:c r="J150" s="22"/>
      <x:c r="K150" s="22"/>
      <x:c r="L150" s="22"/>
      <x:c r="M150" s="22"/>
      <x:c r="N150" s="22"/>
      <x:c r="O150" s="22"/>
      <x:c r="P150" s="22"/>
      <x:c r="Q150" s="22"/>
    </x:row>
    <x:row r="151">
      <x:c r="A151" s="22" t="n">
        <x:v>148</x:v>
      </x:c>
      <x:c r="B151" s="22"/>
      <x:c r="C151" s="22"/>
      <x:c r="D151" s="22"/>
      <x:c r="E151" s="22"/>
      <x:c r="F151" s="22"/>
      <x:c r="G151" s="22"/>
      <x:c r="H151" s="22"/>
      <x:c r="I151" s="22"/>
      <x:c r="J151" s="22"/>
      <x:c r="K151" s="22"/>
      <x:c r="L151" s="22"/>
      <x:c r="M151" s="22"/>
      <x:c r="N151" s="22"/>
      <x:c r="O151" s="22"/>
      <x:c r="P151" s="22"/>
      <x:c r="Q151" s="22"/>
    </x:row>
    <x:row r="152">
      <x:c r="A152" s="22" t="n">
        <x:v>149</x:v>
      </x:c>
      <x:c r="B152" s="22"/>
      <x:c r="C152" s="22"/>
      <x:c r="D152" s="22"/>
      <x:c r="E152" s="22"/>
      <x:c r="F152" s="22"/>
      <x:c r="G152" s="22"/>
      <x:c r="H152" s="22"/>
      <x:c r="I152" s="22"/>
      <x:c r="J152" s="22"/>
      <x:c r="K152" s="22"/>
      <x:c r="L152" s="22"/>
      <x:c r="M152" s="22"/>
      <x:c r="N152" s="22"/>
      <x:c r="O152" s="22"/>
      <x:c r="P152" s="22"/>
      <x:c r="Q152" s="22"/>
    </x:row>
    <x:row r="153">
      <x:c r="A153" s="22" t="n">
        <x:v>150</x:v>
      </x:c>
      <x:c r="B153" s="22"/>
      <x:c r="C153" s="22"/>
      <x:c r="D153" s="22"/>
      <x:c r="E153" s="22"/>
      <x:c r="F153" s="22"/>
      <x:c r="G153" s="22"/>
      <x:c r="H153" s="22"/>
      <x:c r="I153" s="22"/>
      <x:c r="J153" s="22"/>
      <x:c r="K153" s="22"/>
      <x:c r="L153" s="22"/>
      <x:c r="M153" s="22"/>
      <x:c r="N153" s="22"/>
      <x:c r="O153" s="22"/>
      <x:c r="P153" s="22"/>
      <x:c r="Q153" s="22"/>
    </x:row>
    <x:row r="154">
      <x:c r="A154" s="22" t="n">
        <x:v>151</x:v>
      </x:c>
      <x:c r="B154" s="22"/>
      <x:c r="C154" s="22"/>
      <x:c r="D154" s="22"/>
      <x:c r="E154" s="22"/>
      <x:c r="F154" s="22"/>
      <x:c r="G154" s="22"/>
      <x:c r="H154" s="22"/>
      <x:c r="I154" s="22"/>
      <x:c r="J154" s="22"/>
      <x:c r="K154" s="22"/>
      <x:c r="L154" s="22"/>
      <x:c r="M154" s="22"/>
      <x:c r="N154" s="22"/>
      <x:c r="O154" s="22"/>
      <x:c r="P154" s="22"/>
      <x:c r="Q154" s="22"/>
    </x:row>
    <x:row r="155">
      <x:c r="A155" s="22" t="n">
        <x:v>152</x:v>
      </x:c>
      <x:c r="B155" s="22"/>
      <x:c r="C155" s="22"/>
      <x:c r="D155" s="22"/>
      <x:c r="E155" s="22"/>
      <x:c r="F155" s="22"/>
      <x:c r="G155" s="22"/>
      <x:c r="H155" s="22"/>
      <x:c r="I155" s="22"/>
      <x:c r="J155" s="22"/>
      <x:c r="K155" s="22"/>
      <x:c r="L155" s="22"/>
      <x:c r="M155" s="22"/>
      <x:c r="N155" s="22"/>
      <x:c r="O155" s="22"/>
      <x:c r="P155" s="22"/>
      <x:c r="Q155" s="22"/>
    </x:row>
    <x:row r="156">
      <x:c r="A156" s="22" t="n">
        <x:v>153</x:v>
      </x:c>
      <x:c r="B156" s="22"/>
      <x:c r="C156" s="22"/>
      <x:c r="D156" s="22"/>
      <x:c r="E156" s="22"/>
      <x:c r="F156" s="22"/>
      <x:c r="G156" s="22"/>
      <x:c r="H156" s="22"/>
      <x:c r="I156" s="22"/>
      <x:c r="J156" s="22"/>
      <x:c r="K156" s="22"/>
      <x:c r="L156" s="22"/>
      <x:c r="M156" s="22"/>
      <x:c r="N156" s="22"/>
      <x:c r="O156" s="22"/>
      <x:c r="P156" s="22"/>
      <x:c r="Q156" s="22"/>
    </x:row>
    <x:row r="157">
      <x:c r="A157" s="22" t="n">
        <x:v>154</x:v>
      </x:c>
      <x:c r="B157" s="22"/>
      <x:c r="C157" s="22"/>
      <x:c r="D157" s="22"/>
      <x:c r="E157" s="22"/>
      <x:c r="F157" s="22"/>
      <x:c r="G157" s="22"/>
      <x:c r="H157" s="22"/>
      <x:c r="I157" s="22"/>
      <x:c r="J157" s="22"/>
      <x:c r="K157" s="22"/>
      <x:c r="L157" s="22"/>
      <x:c r="M157" s="22"/>
      <x:c r="N157" s="22"/>
      <x:c r="O157" s="22"/>
      <x:c r="P157" s="22"/>
      <x:c r="Q157" s="22"/>
    </x:row>
    <x:row r="158">
      <x:c r="A158" s="22" t="n">
        <x:v>155</x:v>
      </x:c>
      <x:c r="B158" s="22"/>
      <x:c r="C158" s="22"/>
      <x:c r="D158" s="22"/>
      <x:c r="E158" s="22"/>
      <x:c r="F158" s="22"/>
      <x:c r="G158" s="22"/>
      <x:c r="H158" s="22"/>
      <x:c r="I158" s="22"/>
      <x:c r="J158" s="22"/>
      <x:c r="K158" s="22"/>
      <x:c r="L158" s="22"/>
      <x:c r="M158" s="22"/>
      <x:c r="N158" s="22"/>
      <x:c r="O158" s="22"/>
      <x:c r="P158" s="22"/>
      <x:c r="Q158" s="22"/>
    </x:row>
    <x:row r="159">
      <x:c r="A159" s="22" t="n">
        <x:v>156</x:v>
      </x:c>
      <x:c r="B159" s="22"/>
      <x:c r="C159" s="22"/>
      <x:c r="D159" s="22"/>
      <x:c r="E159" s="22"/>
      <x:c r="F159" s="22"/>
      <x:c r="G159" s="22"/>
      <x:c r="H159" s="22"/>
      <x:c r="I159" s="22"/>
      <x:c r="J159" s="22"/>
      <x:c r="K159" s="22"/>
      <x:c r="L159" s="22"/>
      <x:c r="M159" s="22"/>
      <x:c r="N159" s="22"/>
      <x:c r="O159" s="22"/>
      <x:c r="P159" s="22"/>
      <x:c r="Q159" s="22"/>
    </x:row>
    <x:row r="160">
      <x:c r="A160" s="22" t="n">
        <x:v>157</x:v>
      </x:c>
      <x:c r="B160" s="22"/>
      <x:c r="C160" s="22"/>
      <x:c r="D160" s="22"/>
      <x:c r="E160" s="22"/>
      <x:c r="F160" s="22"/>
      <x:c r="G160" s="22"/>
      <x:c r="H160" s="22"/>
      <x:c r="I160" s="22"/>
      <x:c r="J160" s="22"/>
      <x:c r="K160" s="22"/>
      <x:c r="L160" s="22"/>
      <x:c r="M160" s="22"/>
      <x:c r="N160" s="22"/>
      <x:c r="O160" s="22"/>
      <x:c r="P160" s="22"/>
      <x:c r="Q160" s="22"/>
    </x:row>
    <x:row r="161">
      <x:c r="A161" s="22" t="n">
        <x:v>158</x:v>
      </x:c>
      <x:c r="B161" s="22"/>
      <x:c r="C161" s="22"/>
      <x:c r="D161" s="22"/>
      <x:c r="E161" s="22"/>
      <x:c r="F161" s="22"/>
      <x:c r="G161" s="22"/>
      <x:c r="H161" s="22"/>
      <x:c r="I161" s="22"/>
      <x:c r="J161" s="22"/>
      <x:c r="K161" s="22"/>
      <x:c r="L161" s="22"/>
      <x:c r="M161" s="22"/>
      <x:c r="N161" s="22"/>
      <x:c r="O161" s="22"/>
      <x:c r="P161" s="22"/>
      <x:c r="Q161" s="22"/>
    </x:row>
    <x:row r="162">
      <x:c r="A162" s="22" t="n">
        <x:v>159</x:v>
      </x:c>
      <x:c r="B162" s="22"/>
      <x:c r="C162" s="22"/>
      <x:c r="D162" s="22"/>
      <x:c r="E162" s="22"/>
      <x:c r="F162" s="22"/>
      <x:c r="G162" s="22"/>
      <x:c r="H162" s="22"/>
      <x:c r="I162" s="22"/>
      <x:c r="J162" s="22"/>
      <x:c r="K162" s="22"/>
      <x:c r="L162" s="22"/>
      <x:c r="M162" s="22"/>
      <x:c r="N162" s="22"/>
      <x:c r="O162" s="22"/>
      <x:c r="P162" s="22"/>
      <x:c r="Q162" s="22"/>
    </x:row>
    <x:row r="163">
      <x:c r="A163" s="22" t="n">
        <x:v>160</x:v>
      </x:c>
      <x:c r="B163" s="22"/>
      <x:c r="C163" s="22"/>
      <x:c r="D163" s="22"/>
      <x:c r="E163" s="22"/>
      <x:c r="F163" s="22"/>
      <x:c r="G163" s="22"/>
      <x:c r="H163" s="22"/>
      <x:c r="I163" s="22"/>
      <x:c r="J163" s="22"/>
      <x:c r="K163" s="22"/>
      <x:c r="L163" s="22"/>
      <x:c r="M163" s="22"/>
      <x:c r="N163" s="22"/>
      <x:c r="O163" s="22"/>
      <x:c r="P163" s="22"/>
      <x:c r="Q163" s="22"/>
    </x:row>
    <x:row r="164">
      <x:c r="A164" s="22" t="n">
        <x:v>161</x:v>
      </x:c>
      <x:c r="B164" s="22"/>
      <x:c r="C164" s="22"/>
      <x:c r="D164" s="22"/>
      <x:c r="E164" s="22"/>
      <x:c r="F164" s="22"/>
      <x:c r="G164" s="22"/>
      <x:c r="H164" s="22"/>
      <x:c r="I164" s="22"/>
      <x:c r="J164" s="22"/>
      <x:c r="K164" s="22"/>
      <x:c r="L164" s="22"/>
      <x:c r="M164" s="22"/>
      <x:c r="N164" s="22"/>
      <x:c r="O164" s="22"/>
      <x:c r="P164" s="22"/>
      <x:c r="Q164" s="22"/>
    </x:row>
    <x:row r="165">
      <x:c r="A165" s="22" t="n">
        <x:v>162</x:v>
      </x:c>
      <x:c r="B165" s="22"/>
      <x:c r="C165" s="22"/>
      <x:c r="D165" s="22"/>
      <x:c r="E165" s="22"/>
      <x:c r="F165" s="22"/>
      <x:c r="G165" s="22"/>
      <x:c r="H165" s="22"/>
      <x:c r="I165" s="22"/>
      <x:c r="J165" s="22"/>
      <x:c r="K165" s="22"/>
      <x:c r="L165" s="22"/>
      <x:c r="M165" s="22"/>
      <x:c r="N165" s="22"/>
      <x:c r="O165" s="22"/>
      <x:c r="P165" s="22"/>
      <x:c r="Q165" s="22"/>
    </x:row>
    <x:row r="166">
      <x:c r="A166" s="22" t="n">
        <x:v>163</x:v>
      </x:c>
      <x:c r="B166" s="22"/>
      <x:c r="C166" s="22"/>
      <x:c r="D166" s="22"/>
      <x:c r="E166" s="22"/>
      <x:c r="F166" s="22"/>
      <x:c r="G166" s="22"/>
      <x:c r="H166" s="22"/>
      <x:c r="I166" s="22"/>
      <x:c r="J166" s="22"/>
      <x:c r="K166" s="22"/>
      <x:c r="L166" s="22"/>
      <x:c r="M166" s="22"/>
      <x:c r="N166" s="22"/>
      <x:c r="O166" s="22"/>
      <x:c r="P166" s="22"/>
      <x:c r="Q166" s="22"/>
    </x:row>
    <x:row r="167">
      <x:c r="A167" s="22" t="n">
        <x:v>164</x:v>
      </x:c>
      <x:c r="B167" s="22"/>
      <x:c r="C167" s="22"/>
      <x:c r="D167" s="22"/>
      <x:c r="E167" s="22"/>
      <x:c r="F167" s="22"/>
      <x:c r="G167" s="22"/>
      <x:c r="H167" s="22"/>
      <x:c r="I167" s="22"/>
      <x:c r="J167" s="22"/>
      <x:c r="K167" s="22"/>
      <x:c r="L167" s="22"/>
      <x:c r="M167" s="22"/>
      <x:c r="N167" s="22"/>
      <x:c r="O167" s="22"/>
      <x:c r="P167" s="22"/>
      <x:c r="Q167" s="22"/>
    </x:row>
    <x:row r="168">
      <x:c r="A168" s="22" t="n">
        <x:v>165</x:v>
      </x:c>
      <x:c r="B168" s="22"/>
      <x:c r="C168" s="22"/>
      <x:c r="D168" s="22"/>
      <x:c r="E168" s="22"/>
      <x:c r="F168" s="22"/>
      <x:c r="G168" s="22"/>
      <x:c r="H168" s="22"/>
      <x:c r="I168" s="22"/>
      <x:c r="J168" s="22"/>
      <x:c r="K168" s="22"/>
      <x:c r="L168" s="22"/>
      <x:c r="M168" s="22"/>
      <x:c r="N168" s="22"/>
      <x:c r="O168" s="22"/>
      <x:c r="P168" s="22"/>
      <x:c r="Q168" s="22"/>
    </x:row>
    <x:row r="169">
      <x:c r="A169" s="22" t="n">
        <x:v>166</x:v>
      </x:c>
      <x:c r="B169" s="22"/>
      <x:c r="C169" s="22"/>
      <x:c r="D169" s="22"/>
      <x:c r="E169" s="22"/>
      <x:c r="F169" s="22"/>
      <x:c r="G169" s="22"/>
      <x:c r="H169" s="22"/>
      <x:c r="I169" s="22"/>
      <x:c r="J169" s="22"/>
      <x:c r="K169" s="22"/>
      <x:c r="L169" s="22"/>
      <x:c r="M169" s="22"/>
      <x:c r="N169" s="22"/>
      <x:c r="O169" s="22"/>
      <x:c r="P169" s="22"/>
      <x:c r="Q169" s="22"/>
    </x:row>
    <x:row r="170">
      <x:c r="A170" s="22" t="n">
        <x:v>167</x:v>
      </x:c>
      <x:c r="B170" s="22"/>
      <x:c r="C170" s="22"/>
      <x:c r="D170" s="22"/>
      <x:c r="E170" s="22"/>
      <x:c r="F170" s="22"/>
      <x:c r="G170" s="22"/>
      <x:c r="H170" s="22"/>
      <x:c r="I170" s="22"/>
      <x:c r="J170" s="22"/>
      <x:c r="K170" s="22"/>
      <x:c r="L170" s="22"/>
      <x:c r="M170" s="22"/>
      <x:c r="N170" s="22"/>
      <x:c r="O170" s="22"/>
      <x:c r="P170" s="22"/>
      <x:c r="Q170" s="22"/>
    </x:row>
    <x:row r="171">
      <x:c r="A171" s="22" t="n">
        <x:v>168</x:v>
      </x:c>
      <x:c r="B171" s="22"/>
      <x:c r="C171" s="22"/>
      <x:c r="D171" s="22"/>
      <x:c r="E171" s="22"/>
      <x:c r="F171" s="22"/>
      <x:c r="G171" s="22"/>
      <x:c r="H171" s="22"/>
      <x:c r="I171" s="22"/>
      <x:c r="J171" s="22"/>
      <x:c r="K171" s="22"/>
      <x:c r="L171" s="22"/>
      <x:c r="M171" s="22"/>
      <x:c r="N171" s="22"/>
      <x:c r="O171" s="22"/>
      <x:c r="P171" s="22"/>
      <x:c r="Q171" s="22"/>
    </x:row>
    <x:row r="172">
      <x:c r="A172" s="22" t="n">
        <x:v>169</x:v>
      </x:c>
      <x:c r="B172" s="22"/>
      <x:c r="C172" s="22"/>
      <x:c r="D172" s="22"/>
      <x:c r="E172" s="22"/>
      <x:c r="F172" s="22"/>
      <x:c r="G172" s="22"/>
      <x:c r="H172" s="22"/>
      <x:c r="I172" s="22"/>
      <x:c r="J172" s="22"/>
      <x:c r="K172" s="22"/>
      <x:c r="L172" s="22"/>
      <x:c r="M172" s="22"/>
      <x:c r="N172" s="22"/>
      <x:c r="O172" s="22"/>
      <x:c r="P172" s="22"/>
      <x:c r="Q172" s="22"/>
    </x:row>
    <x:row r="173">
      <x:c r="A173" s="22" t="n">
        <x:v>170</x:v>
      </x:c>
      <x:c r="B173" s="22"/>
      <x:c r="C173" s="22"/>
      <x:c r="D173" s="22"/>
      <x:c r="E173" s="22"/>
      <x:c r="F173" s="22"/>
      <x:c r="G173" s="22"/>
      <x:c r="H173" s="22"/>
      <x:c r="I173" s="22"/>
      <x:c r="J173" s="22"/>
      <x:c r="K173" s="22"/>
      <x:c r="L173" s="22"/>
      <x:c r="M173" s="22"/>
      <x:c r="N173" s="22"/>
      <x:c r="O173" s="22"/>
      <x:c r="P173" s="22"/>
      <x:c r="Q173" s="22"/>
    </x:row>
    <x:row r="174">
      <x:c r="A174" s="22" t="n">
        <x:v>171</x:v>
      </x:c>
      <x:c r="B174" s="22"/>
      <x:c r="C174" s="22"/>
      <x:c r="D174" s="22"/>
      <x:c r="E174" s="22"/>
      <x:c r="F174" s="22"/>
      <x:c r="G174" s="22"/>
      <x:c r="H174" s="22"/>
      <x:c r="I174" s="22"/>
      <x:c r="J174" s="22"/>
      <x:c r="K174" s="22"/>
      <x:c r="L174" s="22"/>
      <x:c r="M174" s="22"/>
      <x:c r="N174" s="22"/>
      <x:c r="O174" s="22"/>
      <x:c r="P174" s="22"/>
      <x:c r="Q174" s="22"/>
    </x:row>
    <x:row r="175">
      <x:c r="A175" s="22" t="n">
        <x:v>172</x:v>
      </x:c>
      <x:c r="B175" s="22"/>
      <x:c r="C175" s="22"/>
      <x:c r="D175" s="22"/>
      <x:c r="E175" s="22"/>
      <x:c r="F175" s="22"/>
      <x:c r="G175" s="22"/>
      <x:c r="H175" s="22"/>
      <x:c r="I175" s="22"/>
      <x:c r="J175" s="22"/>
      <x:c r="K175" s="22"/>
      <x:c r="L175" s="22"/>
      <x:c r="M175" s="22"/>
      <x:c r="N175" s="22"/>
      <x:c r="O175" s="22"/>
      <x:c r="P175" s="22"/>
      <x:c r="Q175" s="22"/>
    </x:row>
    <x:row r="176">
      <x:c r="A176" s="22" t="n">
        <x:v>173</x:v>
      </x:c>
      <x:c r="B176" s="22"/>
      <x:c r="C176" s="22"/>
      <x:c r="D176" s="22"/>
      <x:c r="E176" s="22"/>
      <x:c r="F176" s="22"/>
      <x:c r="G176" s="22"/>
      <x:c r="H176" s="22"/>
      <x:c r="I176" s="22"/>
      <x:c r="J176" s="22"/>
      <x:c r="K176" s="22"/>
      <x:c r="L176" s="22"/>
      <x:c r="M176" s="22"/>
      <x:c r="N176" s="22"/>
      <x:c r="O176" s="22"/>
      <x:c r="P176" s="22"/>
      <x:c r="Q176" s="22"/>
    </x:row>
    <x:row r="177">
      <x:c r="A177" s="22" t="n">
        <x:v>174</x:v>
      </x:c>
      <x:c r="B177" s="22"/>
      <x:c r="C177" s="22"/>
      <x:c r="D177" s="22"/>
      <x:c r="E177" s="22"/>
      <x:c r="F177" s="22"/>
      <x:c r="G177" s="22"/>
      <x:c r="H177" s="22"/>
      <x:c r="I177" s="22"/>
      <x:c r="J177" s="22"/>
      <x:c r="K177" s="22"/>
      <x:c r="L177" s="22"/>
      <x:c r="M177" s="22"/>
      <x:c r="N177" s="22"/>
      <x:c r="O177" s="22"/>
      <x:c r="P177" s="22"/>
      <x:c r="Q177" s="22"/>
    </x:row>
    <x:row r="178">
      <x:c r="A178" s="22" t="n">
        <x:v>175</x:v>
      </x:c>
      <x:c r="B178" s="22"/>
      <x:c r="C178" s="22"/>
      <x:c r="D178" s="22"/>
      <x:c r="E178" s="22"/>
      <x:c r="F178" s="22"/>
      <x:c r="G178" s="22"/>
      <x:c r="H178" s="22"/>
      <x:c r="I178" s="22"/>
      <x:c r="J178" s="22"/>
      <x:c r="K178" s="22"/>
      <x:c r="L178" s="22"/>
      <x:c r="M178" s="22"/>
      <x:c r="N178" s="22"/>
      <x:c r="O178" s="22"/>
      <x:c r="P178" s="22"/>
      <x:c r="Q178" s="22"/>
    </x:row>
    <x:row r="179">
      <x:c r="A179" s="22" t="n">
        <x:v>176</x:v>
      </x:c>
      <x:c r="B179" s="22"/>
      <x:c r="C179" s="22"/>
      <x:c r="D179" s="22"/>
      <x:c r="E179" s="22"/>
      <x:c r="F179" s="22"/>
      <x:c r="G179" s="22"/>
      <x:c r="H179" s="22"/>
      <x:c r="I179" s="22"/>
      <x:c r="J179" s="22"/>
      <x:c r="K179" s="22"/>
      <x:c r="L179" s="22"/>
      <x:c r="M179" s="22"/>
      <x:c r="N179" s="22"/>
      <x:c r="O179" s="22"/>
      <x:c r="P179" s="22"/>
      <x:c r="Q179" s="22"/>
    </x:row>
    <x:row r="180">
      <x:c r="A180" s="22" t="n">
        <x:v>177</x:v>
      </x:c>
      <x:c r="B180" s="22"/>
      <x:c r="C180" s="22"/>
      <x:c r="D180" s="22"/>
      <x:c r="E180" s="22"/>
      <x:c r="F180" s="22"/>
      <x:c r="G180" s="22"/>
      <x:c r="H180" s="22"/>
      <x:c r="I180" s="22"/>
      <x:c r="J180" s="22"/>
      <x:c r="K180" s="22"/>
      <x:c r="L180" s="22"/>
      <x:c r="M180" s="22"/>
      <x:c r="N180" s="22"/>
      <x:c r="O180" s="22"/>
      <x:c r="P180" s="22"/>
      <x:c r="Q180" s="22"/>
    </x:row>
    <x:row r="181">
      <x:c r="A181" s="22" t="n">
        <x:v>178</x:v>
      </x:c>
      <x:c r="B181" s="22"/>
      <x:c r="C181" s="22"/>
      <x:c r="D181" s="22"/>
      <x:c r="E181" s="22"/>
      <x:c r="F181" s="22"/>
      <x:c r="G181" s="22"/>
      <x:c r="H181" s="22"/>
      <x:c r="I181" s="22"/>
      <x:c r="J181" s="22"/>
      <x:c r="K181" s="22"/>
      <x:c r="L181" s="22"/>
      <x:c r="M181" s="22"/>
      <x:c r="N181" s="22"/>
      <x:c r="O181" s="22"/>
      <x:c r="P181" s="22"/>
      <x:c r="Q181" s="22"/>
    </x:row>
    <x:row r="182">
      <x:c r="A182" s="22" t="n">
        <x:v>179</x:v>
      </x:c>
      <x:c r="B182" s="22"/>
      <x:c r="C182" s="22"/>
      <x:c r="D182" s="22"/>
      <x:c r="E182" s="22"/>
      <x:c r="F182" s="22"/>
      <x:c r="G182" s="22"/>
      <x:c r="H182" s="22"/>
      <x:c r="I182" s="22"/>
      <x:c r="J182" s="22"/>
      <x:c r="K182" s="22"/>
      <x:c r="L182" s="22"/>
      <x:c r="M182" s="22"/>
      <x:c r="N182" s="22"/>
      <x:c r="O182" s="22"/>
      <x:c r="P182" s="22"/>
      <x:c r="Q182" s="22"/>
    </x:row>
    <x:row r="183">
      <x:c r="A183" s="22" t="n">
        <x:v>180</x:v>
      </x:c>
      <x:c r="B183" s="22"/>
      <x:c r="C183" s="22"/>
      <x:c r="D183" s="22"/>
      <x:c r="E183" s="22"/>
      <x:c r="F183" s="22"/>
      <x:c r="G183" s="22"/>
      <x:c r="H183" s="22"/>
      <x:c r="I183" s="22"/>
      <x:c r="J183" s="22"/>
      <x:c r="K183" s="22"/>
      <x:c r="L183" s="22"/>
      <x:c r="M183" s="22"/>
      <x:c r="N183" s="22"/>
      <x:c r="O183" s="22"/>
      <x:c r="P183" s="22"/>
      <x:c r="Q183" s="22"/>
    </x:row>
    <x:row r="184">
      <x:c r="A184" s="22" t="n">
        <x:v>181</x:v>
      </x:c>
      <x:c r="B184" s="22"/>
      <x:c r="C184" s="22"/>
      <x:c r="D184" s="22"/>
      <x:c r="E184" s="22"/>
      <x:c r="F184" s="22"/>
      <x:c r="G184" s="22"/>
      <x:c r="H184" s="22"/>
      <x:c r="I184" s="22"/>
      <x:c r="J184" s="22"/>
      <x:c r="K184" s="22"/>
      <x:c r="L184" s="22"/>
      <x:c r="M184" s="22"/>
      <x:c r="N184" s="22"/>
      <x:c r="O184" s="22"/>
      <x:c r="P184" s="22"/>
      <x:c r="Q184" s="22"/>
    </x:row>
    <x:row r="185">
      <x:c r="A185" s="22" t="n">
        <x:v>182</x:v>
      </x:c>
      <x:c r="B185" s="22"/>
      <x:c r="C185" s="22"/>
      <x:c r="D185" s="22"/>
      <x:c r="E185" s="22"/>
      <x:c r="F185" s="22"/>
      <x:c r="G185" s="22"/>
      <x:c r="H185" s="22"/>
      <x:c r="I185" s="22"/>
      <x:c r="J185" s="22"/>
      <x:c r="K185" s="22"/>
      <x:c r="L185" s="22"/>
      <x:c r="M185" s="22"/>
      <x:c r="N185" s="22"/>
      <x:c r="O185" s="22"/>
      <x:c r="P185" s="22"/>
      <x:c r="Q185" s="22"/>
    </x:row>
    <x:row r="186">
      <x:c r="A186" s="22" t="n">
        <x:v>183</x:v>
      </x:c>
      <x:c r="B186" s="22"/>
      <x:c r="C186" s="22"/>
      <x:c r="D186" s="22"/>
      <x:c r="E186" s="22"/>
      <x:c r="F186" s="22"/>
      <x:c r="G186" s="22"/>
      <x:c r="H186" s="22"/>
      <x:c r="I186" s="22"/>
      <x:c r="J186" s="22"/>
      <x:c r="K186" s="22"/>
      <x:c r="L186" s="22"/>
      <x:c r="M186" s="22"/>
      <x:c r="N186" s="22"/>
      <x:c r="O186" s="22"/>
      <x:c r="P186" s="22"/>
      <x:c r="Q186" s="22"/>
    </x:row>
    <x:row r="187">
      <x:c r="A187" s="22" t="n">
        <x:v>184</x:v>
      </x:c>
      <x:c r="B187" s="22"/>
      <x:c r="C187" s="22"/>
      <x:c r="D187" s="22"/>
      <x:c r="E187" s="22"/>
      <x:c r="F187" s="22"/>
      <x:c r="G187" s="22"/>
      <x:c r="H187" s="22"/>
      <x:c r="I187" s="22"/>
      <x:c r="J187" s="22"/>
      <x:c r="K187" s="22"/>
      <x:c r="L187" s="22"/>
      <x:c r="M187" s="22"/>
      <x:c r="N187" s="22"/>
      <x:c r="O187" s="22"/>
      <x:c r="P187" s="22"/>
      <x:c r="Q187" s="22"/>
    </x:row>
    <x:row r="188">
      <x:c r="A188" s="22" t="n">
        <x:v>185</x:v>
      </x:c>
      <x:c r="B188" s="22"/>
      <x:c r="C188" s="22"/>
      <x:c r="D188" s="22"/>
      <x:c r="E188" s="22"/>
      <x:c r="F188" s="22"/>
      <x:c r="G188" s="22"/>
      <x:c r="H188" s="22"/>
      <x:c r="I188" s="22"/>
      <x:c r="J188" s="22"/>
      <x:c r="K188" s="22"/>
      <x:c r="L188" s="22"/>
      <x:c r="M188" s="22"/>
      <x:c r="N188" s="22"/>
      <x:c r="O188" s="22"/>
      <x:c r="P188" s="22"/>
      <x:c r="Q188" s="22"/>
    </x:row>
    <x:row r="189">
      <x:c r="A189" s="22" t="n">
        <x:v>186</x:v>
      </x:c>
      <x:c r="B189" s="22"/>
      <x:c r="C189" s="22"/>
      <x:c r="D189" s="22"/>
      <x:c r="E189" s="22"/>
      <x:c r="F189" s="22"/>
      <x:c r="G189" s="22"/>
      <x:c r="H189" s="22"/>
      <x:c r="I189" s="22"/>
      <x:c r="J189" s="22"/>
      <x:c r="K189" s="22"/>
      <x:c r="L189" s="22"/>
      <x:c r="M189" s="22"/>
      <x:c r="N189" s="22"/>
      <x:c r="O189" s="22"/>
      <x:c r="P189" s="22"/>
      <x:c r="Q189" s="22"/>
    </x:row>
    <x:row r="190">
      <x:c r="A190" s="22" t="n">
        <x:v>187</x:v>
      </x:c>
      <x:c r="B190" s="22"/>
      <x:c r="C190" s="22"/>
      <x:c r="D190" s="22"/>
      <x:c r="E190" s="22"/>
      <x:c r="F190" s="22"/>
      <x:c r="G190" s="22"/>
      <x:c r="H190" s="22"/>
      <x:c r="I190" s="22"/>
      <x:c r="J190" s="22"/>
      <x:c r="K190" s="22"/>
      <x:c r="L190" s="22"/>
      <x:c r="M190" s="22"/>
      <x:c r="N190" s="22"/>
      <x:c r="O190" s="22"/>
      <x:c r="P190" s="22"/>
      <x:c r="Q190" s="22"/>
    </x:row>
    <x:row r="191">
      <x:c r="A191" s="22" t="n">
        <x:v>188</x:v>
      </x:c>
      <x:c r="B191" s="22"/>
      <x:c r="C191" s="22"/>
      <x:c r="D191" s="22"/>
      <x:c r="E191" s="22"/>
      <x:c r="F191" s="22"/>
      <x:c r="G191" s="22"/>
      <x:c r="H191" s="22"/>
      <x:c r="I191" s="22"/>
      <x:c r="J191" s="22"/>
      <x:c r="K191" s="22"/>
      <x:c r="L191" s="22"/>
      <x:c r="M191" s="22"/>
      <x:c r="N191" s="22"/>
      <x:c r="O191" s="22"/>
      <x:c r="P191" s="22"/>
      <x:c r="Q191" s="22"/>
    </x:row>
    <x:row r="192">
      <x:c r="A192" s="22" t="n">
        <x:v>189</x:v>
      </x:c>
      <x:c r="B192" s="22"/>
      <x:c r="C192" s="22"/>
      <x:c r="D192" s="22"/>
      <x:c r="E192" s="22"/>
      <x:c r="F192" s="22"/>
      <x:c r="G192" s="22"/>
      <x:c r="H192" s="22"/>
      <x:c r="I192" s="22"/>
      <x:c r="J192" s="22"/>
      <x:c r="K192" s="22"/>
      <x:c r="L192" s="22"/>
      <x:c r="M192" s="22"/>
      <x:c r="N192" s="22"/>
      <x:c r="O192" s="22"/>
      <x:c r="P192" s="22"/>
      <x:c r="Q192" s="22"/>
    </x:row>
    <x:row r="193">
      <x:c r="A193" s="22" t="n">
        <x:v>190</x:v>
      </x:c>
      <x:c r="B193" s="22"/>
      <x:c r="C193" s="22"/>
      <x:c r="D193" s="22"/>
      <x:c r="E193" s="22"/>
      <x:c r="F193" s="22"/>
      <x:c r="G193" s="22"/>
      <x:c r="H193" s="22"/>
      <x:c r="I193" s="22"/>
      <x:c r="J193" s="22"/>
      <x:c r="K193" s="22"/>
      <x:c r="L193" s="22"/>
      <x:c r="M193" s="22"/>
      <x:c r="N193" s="22"/>
      <x:c r="O193" s="22"/>
      <x:c r="P193" s="22"/>
      <x:c r="Q193" s="22"/>
    </x:row>
    <x:row r="194">
      <x:c r="A194" s="22" t="n">
        <x:v>191</x:v>
      </x:c>
      <x:c r="B194" s="22"/>
      <x:c r="C194" s="22"/>
      <x:c r="D194" s="22"/>
      <x:c r="E194" s="22"/>
      <x:c r="F194" s="22"/>
      <x:c r="G194" s="22"/>
      <x:c r="H194" s="22"/>
      <x:c r="I194" s="22"/>
      <x:c r="J194" s="22"/>
      <x:c r="K194" s="22"/>
      <x:c r="L194" s="22"/>
      <x:c r="M194" s="22"/>
      <x:c r="N194" s="22"/>
      <x:c r="O194" s="22"/>
      <x:c r="P194" s="22"/>
      <x:c r="Q194" s="22"/>
    </x:row>
    <x:row r="195">
      <x:c r="A195" s="22" t="n">
        <x:v>192</x:v>
      </x:c>
      <x:c r="B195" s="22"/>
      <x:c r="C195" s="22"/>
      <x:c r="D195" s="22"/>
      <x:c r="E195" s="22"/>
      <x:c r="F195" s="22"/>
      <x:c r="G195" s="22"/>
      <x:c r="H195" s="22"/>
      <x:c r="I195" s="22"/>
      <x:c r="J195" s="22"/>
      <x:c r="K195" s="22"/>
      <x:c r="L195" s="22"/>
      <x:c r="M195" s="22"/>
      <x:c r="N195" s="22"/>
      <x:c r="O195" s="22"/>
      <x:c r="P195" s="22"/>
      <x:c r="Q195" s="22"/>
    </x:row>
    <x:row r="196">
      <x:c r="A196" s="22" t="n">
        <x:v>193</x:v>
      </x:c>
      <x:c r="B196" s="22"/>
      <x:c r="C196" s="22"/>
      <x:c r="D196" s="22"/>
      <x:c r="E196" s="22"/>
      <x:c r="F196" s="22"/>
      <x:c r="G196" s="22"/>
      <x:c r="H196" s="22"/>
      <x:c r="I196" s="22"/>
      <x:c r="J196" s="22"/>
      <x:c r="K196" s="22"/>
      <x:c r="L196" s="22"/>
      <x:c r="M196" s="22"/>
      <x:c r="N196" s="22"/>
      <x:c r="O196" s="22"/>
      <x:c r="P196" s="22"/>
      <x:c r="Q196" s="22"/>
    </x:row>
    <x:row r="197">
      <x:c r="A197" s="22" t="n">
        <x:v>194</x:v>
      </x:c>
      <x:c r="B197" s="22"/>
      <x:c r="C197" s="22"/>
      <x:c r="D197" s="22"/>
      <x:c r="E197" s="22"/>
      <x:c r="F197" s="22"/>
      <x:c r="G197" s="22"/>
      <x:c r="H197" s="22"/>
      <x:c r="I197" s="22"/>
      <x:c r="J197" s="22"/>
      <x:c r="K197" s="22"/>
      <x:c r="L197" s="22"/>
      <x:c r="M197" s="22"/>
      <x:c r="N197" s="22"/>
      <x:c r="O197" s="22"/>
      <x:c r="P197" s="22"/>
      <x:c r="Q197" s="22"/>
    </x:row>
    <x:row r="198">
      <x:c r="A198" s="22" t="n">
        <x:v>195</x:v>
      </x:c>
      <x:c r="B198" s="22"/>
      <x:c r="C198" s="22"/>
      <x:c r="D198" s="22"/>
      <x:c r="E198" s="22"/>
      <x:c r="F198" s="22"/>
      <x:c r="G198" s="22"/>
      <x:c r="H198" s="22"/>
      <x:c r="I198" s="22"/>
      <x:c r="J198" s="22"/>
      <x:c r="K198" s="22"/>
      <x:c r="L198" s="22"/>
      <x:c r="M198" s="22"/>
      <x:c r="N198" s="22"/>
      <x:c r="O198" s="22"/>
      <x:c r="P198" s="22"/>
      <x:c r="Q198" s="22"/>
    </x:row>
    <x:row r="199">
      <x:c r="A199" s="22" t="n">
        <x:v>196</x:v>
      </x:c>
      <x:c r="B199" s="22"/>
      <x:c r="C199" s="22"/>
      <x:c r="D199" s="22"/>
      <x:c r="E199" s="22"/>
      <x:c r="F199" s="22"/>
      <x:c r="G199" s="22"/>
      <x:c r="H199" s="22"/>
      <x:c r="I199" s="22"/>
      <x:c r="J199" s="22"/>
      <x:c r="K199" s="22"/>
      <x:c r="L199" s="22"/>
      <x:c r="M199" s="22"/>
      <x:c r="N199" s="22"/>
      <x:c r="O199" s="22"/>
      <x:c r="P199" s="22"/>
      <x:c r="Q199" s="22"/>
    </x:row>
    <x:row r="200">
      <x:c r="A200" s="22" t="n">
        <x:v>197</x:v>
      </x:c>
      <x:c r="B200" s="22"/>
      <x:c r="C200" s="22"/>
      <x:c r="D200" s="22"/>
      <x:c r="E200" s="22"/>
      <x:c r="F200" s="22"/>
      <x:c r="G200" s="22"/>
      <x:c r="H200" s="22"/>
      <x:c r="I200" s="22"/>
      <x:c r="J200" s="22"/>
      <x:c r="K200" s="22"/>
      <x:c r="L200" s="22"/>
      <x:c r="M200" s="22"/>
      <x:c r="N200" s="22"/>
      <x:c r="O200" s="22"/>
      <x:c r="P200" s="22"/>
      <x:c r="Q200" s="22"/>
    </x:row>
    <x:row r="201">
      <x:c r="A201" s="22" t="n">
        <x:v>198</x:v>
      </x:c>
      <x:c r="B201" s="22"/>
      <x:c r="C201" s="22"/>
      <x:c r="D201" s="22"/>
      <x:c r="E201" s="22"/>
      <x:c r="F201" s="22"/>
      <x:c r="G201" s="22"/>
      <x:c r="H201" s="22"/>
      <x:c r="I201" s="22"/>
      <x:c r="J201" s="22"/>
      <x:c r="K201" s="22"/>
      <x:c r="L201" s="22"/>
      <x:c r="M201" s="22"/>
      <x:c r="N201" s="22"/>
      <x:c r="O201" s="22"/>
      <x:c r="P201" s="22"/>
      <x:c r="Q201" s="22"/>
    </x:row>
    <x:row r="202">
      <x:c r="A202" s="22" t="n">
        <x:v>199</x:v>
      </x:c>
      <x:c r="B202" s="22"/>
      <x:c r="C202" s="22"/>
      <x:c r="D202" s="22"/>
      <x:c r="E202" s="22"/>
      <x:c r="F202" s="22"/>
      <x:c r="G202" s="22"/>
      <x:c r="H202" s="22"/>
      <x:c r="I202" s="22"/>
      <x:c r="J202" s="22"/>
      <x:c r="K202" s="22"/>
      <x:c r="L202" s="22"/>
      <x:c r="M202" s="22"/>
      <x:c r="N202" s="22"/>
      <x:c r="O202" s="22"/>
      <x:c r="P202" s="22"/>
      <x:c r="Q202" s="22"/>
    </x:row>
    <x:row r="203">
      <x:c r="A203" s="22" t="n">
        <x:v>200</x:v>
      </x:c>
      <x:c r="B203" s="22"/>
      <x:c r="C203" s="22"/>
      <x:c r="D203" s="22"/>
      <x:c r="E203" s="22"/>
      <x:c r="F203" s="22"/>
      <x:c r="G203" s="22"/>
      <x:c r="H203" s="22"/>
      <x:c r="I203" s="22"/>
      <x:c r="J203" s="22"/>
      <x:c r="K203" s="22"/>
      <x:c r="L203" s="22"/>
      <x:c r="M203" s="22"/>
      <x:c r="N203" s="22"/>
      <x:c r="O203" s="22"/>
      <x:c r="P203" s="22"/>
      <x:c r="Q203" s="22"/>
    </x:row>
  </x:sheetData>
  <x:mergeCells>
    <x:mergeCell ref="A1:Q1"/>
  </x:mergeCells>
  <x:conditionalFormatting sqref="P4:P203">
    <x:cfRule type="expression" dxfId="14" priority="1">
      <x:formula>P4="Done"</x:formula>
    </x:cfRule>
    <x:cfRule type="expression" dxfId="15" priority="2">
      <x:formula>P4="Blocked"</x:formula>
    </x:cfRule>
  </x:conditionalFormatting>
  <x:dataValidations count="1">
    <x:dataValidation type="list" sqref="P4:P203">
      <x:formula1>"Done,Blocked,Partial,Rolled back"</x:formula1>
    </x:dataValidation>
  </x:dataValidations>
  <x:pageMargins left="0.7" right="0.7" top="0.75" bottom="0.75" header="0.3" footer="0.3"/>
  <x:tableParts count="1">
    <x:tablePart xmlns:r="http://schemas.openxmlformats.org/officeDocument/2006/relationships" r:id="R53a3420ee283452b"/>
  </x:tableParts>
</x:worksheet>
</file>

<file path=xl/worksheets/sheet17.xml><?xml version="1.0" encoding="utf-8"?>
<x:worksheet xmlns:x="http://schemas.openxmlformats.org/spreadsheetml/2006/main">
  <x:sheetFormatPr defaultRowHeight="15"/>
  <x:cols>
    <x:col min="1" max="1" width="45" hidden="0" customWidth="1"/>
    <x:col min="2" max="2" width="18" hidden="0" customWidth="1"/>
    <x:col min="3" max="3" width="24" hidden="0" customWidth="1"/>
    <x:col min="4" max="4" width="12" hidden="0" customWidth="1"/>
    <x:col min="5" max="5" width="14" hidden="0" customWidth="1"/>
    <x:col min="6" max="6" width="12" hidden="0" customWidth="1"/>
    <x:col min="7" max="7" width="12" hidden="0" customWidth="1"/>
    <x:col min="8" max="8" width="12" hidden="0" customWidth="1"/>
    <x:col min="9" max="9" width="16" hidden="0" customWidth="1"/>
    <x:col min="10" max="10" width="28" hidden="0" customWidth="1"/>
  </x:cols>
  <x:sheetData>
    <x:row r="1">
      <x:c r="A1" s="58" t="str">
        <x:v>DISCOVERY MODE – HOW TO FIND THE NEXT HOME CREDIT TOPICS</x:v>
      </x:c>
      <x:c r="B1" s="58"/>
      <x:c r="C1" s="58"/>
      <x:c r="D1" s="58"/>
      <x:c r="E1" s="58"/>
      <x:c r="F1" s="58"/>
      <x:c r="G1" s="58"/>
      <x:c r="H1" s="58"/>
      <x:c r="I1" s="58"/>
      <x:c r="J1" s="58"/>
    </x:row>
    <x:row r="2">
      <x:c r="A2" s="60" t="str">
        <x:v>Discovery runs only when no Ready item remains. It creates a small evidence-based queue, not an unlimited content brainstorm.</x:v>
      </x:c>
      <x:c r="B2" s="60"/>
      <x:c r="C2" s="60"/>
      <x:c r="D2" s="60"/>
      <x:c r="E2" s="60"/>
      <x:c r="F2" s="60"/>
      <x:c r="G2" s="60"/>
      <x:c r="H2" s="60"/>
      <x:c r="I2" s="60"/>
      <x:c r="J2" s="60"/>
    </x:row>
    <x:row r="4">
      <x:c r="A4" s="64" t="str">
        <x:v>Signal</x:v>
      </x:c>
      <x:c r="B4" s="64" t="str">
        <x:v>0</x:v>
      </x:c>
      <x:c r="C4" s="64" t="str">
        <x:v>1</x:v>
      </x:c>
      <x:c r="D4" s="64" t="str">
        <x:v>2</x:v>
      </x:c>
      <x:c r="E4" s="64" t="str">
        <x:v>3</x:v>
      </x:c>
      <x:c r="F4" s="64" t="str">
        <x:v>4</x:v>
      </x:c>
      <x:c r="G4" s="64" t="str">
        <x:v>5</x:v>
      </x:c>
      <x:c r="H4" s="64" t="str">
        <x:v>Weight</x:v>
      </x:c>
      <x:c r="I4" s="64" t="str">
        <x:v>Rule</x:v>
      </x:c>
      <x:c r="J4" s="64" t="str">
        <x:v>Preferred evidence</x:v>
      </x:c>
    </x:row>
    <x:row r="5">
      <x:c r="A5" s="22" t="str">
        <x:v>Search demand</x:v>
      </x:c>
      <x:c r="B5" s="22" t="str">
        <x:v>None</x:v>
      </x:c>
      <x:c r="C5" s="22" t="str">
        <x:v>Weak</x:v>
      </x:c>
      <x:c r="D5" s="22" t="str">
        <x:v>Some</x:v>
      </x:c>
      <x:c r="E5" s="22" t="str">
        <x:v>Clear</x:v>
      </x:c>
      <x:c r="F5" s="22" t="str">
        <x:v>Strong</x:v>
      </x:c>
      <x:c r="G5" s="22" t="str">
        <x:v>Very strong</x:v>
      </x:c>
      <x:c r="H5" s="22" t="n">
        <x:v>3</x:v>
      </x:c>
      <x:c r="I5" s="22" t="str">
        <x:v>Use Search Console first if available; otherwise SERP/query patterns.</x:v>
      </x:c>
      <x:c r="J5" s="22" t="str">
        <x:v>Search Console / keyword source / SERP</x:v>
      </x:c>
    </x:row>
    <x:row r="6">
      <x:c r="A6" s="22" t="str">
        <x:v>Intent separation</x:v>
      </x:c>
      <x:c r="B6" s="22" t="str">
        <x:v>Same as owner</x:v>
      </x:c>
      <x:c r="C6" s="22" t="str">
        <x:v>Mostly overlap</x:v>
      </x:c>
      <x:c r="D6" s="22" t="str">
        <x:v>Partial</x:v>
      </x:c>
      <x:c r="E6" s="22" t="str">
        <x:v>Distinct enough</x:v>
      </x:c>
      <x:c r="F6" s="22" t="str">
        <x:v>Strongly distinct</x:v>
      </x:c>
      <x:c r="G6" s="22" t="str">
        <x:v>Standalone task</x:v>
      </x:c>
      <x:c r="H6" s="22" t="n">
        <x:v>3</x:v>
      </x:c>
      <x:c r="I6" s="22" t="str">
        <x:v>High score required for a new URL.</x:v>
      </x:c>
      <x:c r="J6" s="22" t="str">
        <x:v>SERP + current site</x:v>
      </x:c>
    </x:row>
    <x:row r="7">
      <x:c r="A7" s="22" t="str">
        <x:v>Business value</x:v>
      </x:c>
      <x:c r="B7" s="22" t="str">
        <x:v>None</x:v>
      </x:c>
      <x:c r="C7" s="22" t="str">
        <x:v>Low</x:v>
      </x:c>
      <x:c r="D7" s="22" t="str">
        <x:v>Low-mid</x:v>
      </x:c>
      <x:c r="E7" s="22" t="str">
        <x:v>Medium</x:v>
      </x:c>
      <x:c r="F7" s="22" t="str">
        <x:v>High</x:v>
      </x:c>
      <x:c r="G7" s="22" t="str">
        <x:v>Very high</x:v>
      </x:c>
      <x:c r="H7" s="22" t="n">
        <x:v>2</x:v>
      </x:c>
      <x:c r="I7" s="22" t="str">
        <x:v>Loan/card conversion or task completion gets higher weight.</x:v>
      </x:c>
      <x:c r="J7" s="22" t="str">
        <x:v>CTA/funnel</x:v>
      </x:c>
    </x:row>
    <x:row r="8">
      <x:c r="A8" s="22" t="str">
        <x:v>Source readiness</x:v>
      </x:c>
      <x:c r="B8" s="22" t="str">
        <x:v>No source</x:v>
      </x:c>
      <x:c r="C8" s="22" t="str">
        <x:v>Weak third-party</x:v>
      </x:c>
      <x:c r="D8" s="22" t="str">
        <x:v>Partial</x:v>
      </x:c>
      <x:c r="E8" s="22" t="str">
        <x:v>Good</x:v>
      </x:c>
      <x:c r="F8" s="22" t="str">
        <x:v>Official</x:v>
      </x:c>
      <x:c r="G8" s="22" t="str">
        <x:v>Official + current terms</x:v>
      </x:c>
      <x:c r="H8" s="22" t="n">
        <x:v>3</x:v>
      </x:c>
      <x:c r="I8" s="22" t="str">
        <x:v>Financial claims require official/current evidence.</x:v>
      </x:c>
      <x:c r="J8" s="22" t="str">
        <x:v>Home Credit official</x:v>
      </x:c>
    </x:row>
    <x:row r="9">
      <x:c r="A9" s="22" t="str">
        <x:v>Content gap</x:v>
      </x:c>
      <x:c r="B9" s="22" t="str">
        <x:v>Already complete</x:v>
      </x:c>
      <x:c r="C9" s="22" t="str">
        <x:v>Minor</x:v>
      </x:c>
      <x:c r="D9" s="22" t="str">
        <x:v>Small</x:v>
      </x:c>
      <x:c r="E9" s="22" t="str">
        <x:v>Moderate</x:v>
      </x:c>
      <x:c r="F9" s="22" t="str">
        <x:v>Clear</x:v>
      </x:c>
      <x:c r="G9" s="22" t="str">
        <x:v>Major</x:v>
      </x:c>
      <x:c r="H9" s="22" t="n">
        <x:v>2</x:v>
      </x:c>
      <x:c r="I9" s="22" t="str">
        <x:v>Prefer actual unanswered user tasks.</x:v>
      </x:c>
      <x:c r="J9" s="22" t="str">
        <x:v>Site audit + Search Console</x:v>
      </x:c>
    </x:row>
    <x:row r="10">
      <x:c r="A10" s="22" t="str">
        <x:v>Cannibalization risk</x:v>
      </x:c>
      <x:c r="B10" s="22" t="str">
        <x:v>Very high</x:v>
      </x:c>
      <x:c r="C10" s="22" t="str">
        <x:v>High</x:v>
      </x:c>
      <x:c r="D10" s="22" t="str">
        <x:v>Medium-high</x:v>
      </x:c>
      <x:c r="E10" s="22" t="str">
        <x:v>Medium</x:v>
      </x:c>
      <x:c r="F10" s="22" t="str">
        <x:v>Low</x:v>
      </x:c>
      <x:c r="G10" s="22" t="str">
        <x:v>Very low</x:v>
      </x:c>
      <x:c r="H10" s="22" t="n">
        <x:v>3</x:v>
      </x:c>
      <x:c r="I10" s="22" t="str">
        <x:v>Lower risk is better; merge if overlap remains high.</x:v>
      </x:c>
      <x:c r="J10" s="22" t="str">
        <x:v>Existing routes/SERP</x:v>
      </x:c>
    </x:row>
    <x:row r="12">
      <x:c r="A12" s="67" t="str">
        <x:v>Candidate acceptance rule</x:v>
      </x:c>
      <x:c r="B12" s="67"/>
      <x:c r="C12" s="67"/>
      <x:c r="D12" s="67"/>
      <x:c r="E12" s="67"/>
      <x:c r="F12" s="67"/>
      <x:c r="G12" s="67"/>
      <x:c r="H12" s="67"/>
      <x:c r="I12" s="67"/>
      <x:c r="J12" s="67"/>
    </x:row>
    <x:row r="13">
      <x:c r="A13" s="22" t="str">
        <x:v>For each candidate, record evidence and score the six signals. New URL candidates should normally score at least 3/5 on Intent separation, 3/5 on Source readiness, and have low-to-moderate cannibalization risk. If a topic is valuable but overlaps an owner, add it as an update/section item instead. Append only 3–5 candidates per discovery run. Set exactly one best-qualified item to Ready; leave others as Research.</x:v>
      </x:c>
      <x:c r="B13" s="22"/>
      <x:c r="C13" s="22"/>
      <x:c r="D13" s="22"/>
      <x:c r="E13" s="22"/>
      <x:c r="F13" s="22"/>
      <x:c r="G13" s="22"/>
      <x:c r="H13" s="22"/>
      <x:c r="I13" s="22"/>
      <x:c r="J13" s="22"/>
    </x:row>
    <x:row r="14">
      <x:c r="A14" s="22"/>
      <x:c r="B14" s="22"/>
      <x:c r="C14" s="22"/>
      <x:c r="D14" s="22"/>
      <x:c r="E14" s="22"/>
      <x:c r="F14" s="22"/>
      <x:c r="G14" s="22"/>
      <x:c r="H14" s="22"/>
      <x:c r="I14" s="22"/>
      <x:c r="J14" s="22"/>
    </x:row>
    <x:row r="15">
      <x:c r="A15" s="22"/>
      <x:c r="B15" s="22"/>
      <x:c r="C15" s="22"/>
      <x:c r="D15" s="22"/>
      <x:c r="E15" s="22"/>
      <x:c r="F15" s="22"/>
      <x:c r="G15" s="22"/>
      <x:c r="H15" s="22"/>
      <x:c r="I15" s="22"/>
      <x:c r="J15" s="22"/>
    </x:row>
    <x:row r="16">
      <x:c r="A16" s="22"/>
      <x:c r="B16" s="22"/>
      <x:c r="C16" s="22"/>
      <x:c r="D16" s="22"/>
      <x:c r="E16" s="22"/>
      <x:c r="F16" s="22"/>
      <x:c r="G16" s="22"/>
      <x:c r="H16" s="22"/>
      <x:c r="I16" s="22"/>
      <x:c r="J16" s="22"/>
    </x:row>
    <x:row r="17">
      <x:c r="A17" s="22"/>
      <x:c r="B17" s="22"/>
      <x:c r="C17" s="22"/>
      <x:c r="D17" s="22"/>
      <x:c r="E17" s="22"/>
      <x:c r="F17" s="22"/>
      <x:c r="G17" s="22"/>
      <x:c r="H17" s="22"/>
      <x:c r="I17" s="22"/>
      <x:c r="J17" s="22"/>
    </x:row>
    <x:row r="18">
      <x:c r="A18" s="22"/>
      <x:c r="B18" s="22"/>
      <x:c r="C18" s="22"/>
      <x:c r="D18" s="22"/>
      <x:c r="E18" s="22"/>
      <x:c r="F18" s="22"/>
      <x:c r="G18" s="22"/>
      <x:c r="H18" s="22"/>
      <x:c r="I18" s="22"/>
      <x:c r="J18" s="22"/>
    </x:row>
    <x:row r="20">
      <x:c r="A20" s="64" t="str">
        <x:v>Candidate</x:v>
      </x:c>
      <x:c r="B20" s="64" t="str">
        <x:v>Product</x:v>
      </x:c>
      <x:c r="C20" s="64" t="str">
        <x:v>Intent</x:v>
      </x:c>
      <x:c r="D20" s="64" t="str">
        <x:v>Demand</x:v>
      </x:c>
      <x:c r="E20" s="64" t="str">
        <x:v>Separation</x:v>
      </x:c>
      <x:c r="F20" s="64" t="str">
        <x:v>Business</x:v>
      </x:c>
      <x:c r="G20" s="64" t="str">
        <x:v>Source</x:v>
      </x:c>
      <x:c r="H20" s="64" t="str">
        <x:v>Gap</x:v>
      </x:c>
      <x:c r="I20" s="64" t="str">
        <x:v>Cannibalization</x:v>
      </x:c>
      <x:c r="J20" s="64" t="str">
        <x:v>Decision</x:v>
      </x:c>
    </x:row>
    <x:row r="21">
      <x:c r="A21"/>
      <x:c r="B21"/>
      <x:c r="C21"/>
      <x:c r="D21"/>
      <x:c r="E21"/>
      <x:c r="F21"/>
      <x:c r="G21"/>
      <x:c r="H21"/>
      <x:c r="I21"/>
      <x:c r="J21"/>
    </x:row>
    <x:row r="22">
      <x:c r="A22"/>
      <x:c r="B22"/>
      <x:c r="C22"/>
      <x:c r="D22"/>
      <x:c r="E22"/>
      <x:c r="F22"/>
      <x:c r="G22"/>
      <x:c r="H22"/>
      <x:c r="I22"/>
      <x:c r="J22"/>
    </x:row>
    <x:row r="23">
      <x:c r="A23"/>
      <x:c r="B23"/>
      <x:c r="C23"/>
      <x:c r="D23"/>
      <x:c r="E23"/>
      <x:c r="F23"/>
      <x:c r="G23"/>
      <x:c r="H23"/>
      <x:c r="I23"/>
      <x:c r="J23"/>
    </x:row>
    <x:row r="24">
      <x:c r="A24"/>
      <x:c r="B24"/>
      <x:c r="C24"/>
      <x:c r="D24"/>
      <x:c r="E24"/>
      <x:c r="F24"/>
      <x:c r="G24"/>
      <x:c r="H24"/>
      <x:c r="I24"/>
      <x:c r="J24"/>
    </x:row>
    <x:row r="25">
      <x:c r="A25"/>
      <x:c r="B25"/>
      <x:c r="C25"/>
      <x:c r="D25"/>
      <x:c r="E25"/>
      <x:c r="F25"/>
      <x:c r="G25"/>
      <x:c r="H25"/>
      <x:c r="I25"/>
      <x:c r="J25"/>
    </x:row>
    <x:row r="26">
      <x:c r="A26"/>
      <x:c r="B26"/>
      <x:c r="C26"/>
      <x:c r="D26"/>
      <x:c r="E26"/>
      <x:c r="F26"/>
      <x:c r="G26"/>
      <x:c r="H26"/>
      <x:c r="I26"/>
      <x:c r="J26"/>
    </x:row>
    <x:row r="27">
      <x:c r="A27"/>
      <x:c r="B27"/>
      <x:c r="C27"/>
      <x:c r="D27"/>
      <x:c r="E27"/>
      <x:c r="F27"/>
      <x:c r="G27"/>
      <x:c r="H27"/>
      <x:c r="I27"/>
      <x:c r="J27"/>
    </x:row>
    <x:row r="28">
      <x:c r="A28"/>
      <x:c r="B28"/>
      <x:c r="C28"/>
      <x:c r="D28"/>
      <x:c r="E28"/>
      <x:c r="F28"/>
      <x:c r="G28"/>
      <x:c r="H28"/>
      <x:c r="I28"/>
      <x:c r="J28"/>
    </x:row>
    <x:row r="29">
      <x:c r="A29"/>
      <x:c r="B29"/>
      <x:c r="C29"/>
      <x:c r="D29"/>
      <x:c r="E29"/>
      <x:c r="F29"/>
      <x:c r="G29"/>
      <x:c r="H29"/>
      <x:c r="I29"/>
      <x:c r="J29"/>
    </x:row>
    <x:row r="30">
      <x:c r="A30"/>
      <x:c r="B30"/>
      <x:c r="C30"/>
      <x:c r="D30"/>
      <x:c r="E30"/>
      <x:c r="F30"/>
      <x:c r="G30"/>
      <x:c r="H30"/>
      <x:c r="I30"/>
      <x:c r="J30"/>
    </x:row>
    <x:row r="31">
      <x:c r="A31"/>
      <x:c r="B31"/>
      <x:c r="C31"/>
      <x:c r="D31"/>
      <x:c r="E31"/>
      <x:c r="F31"/>
      <x:c r="G31"/>
      <x:c r="H31"/>
      <x:c r="I31"/>
      <x:c r="J31"/>
    </x:row>
    <x:row r="32">
      <x:c r="A32"/>
      <x:c r="B32"/>
      <x:c r="C32"/>
      <x:c r="D32"/>
      <x:c r="E32"/>
      <x:c r="F32"/>
      <x:c r="G32"/>
      <x:c r="H32"/>
      <x:c r="I32"/>
      <x:c r="J32"/>
    </x:row>
    <x:row r="33">
      <x:c r="A33"/>
      <x:c r="B33"/>
      <x:c r="C33"/>
      <x:c r="D33"/>
      <x:c r="E33"/>
      <x:c r="F33"/>
      <x:c r="G33"/>
      <x:c r="H33"/>
      <x:c r="I33"/>
      <x:c r="J33"/>
    </x:row>
    <x:row r="34">
      <x:c r="A34"/>
      <x:c r="B34"/>
      <x:c r="C34"/>
      <x:c r="D34"/>
      <x:c r="E34"/>
      <x:c r="F34"/>
      <x:c r="G34"/>
      <x:c r="H34"/>
      <x:c r="I34"/>
      <x:c r="J34"/>
    </x:row>
    <x:row r="35">
      <x:c r="A35"/>
      <x:c r="B35"/>
      <x:c r="C35"/>
      <x:c r="D35"/>
      <x:c r="E35"/>
      <x:c r="F35"/>
      <x:c r="G35"/>
      <x:c r="H35"/>
      <x:c r="I35"/>
      <x:c r="J35"/>
    </x:row>
    <x:row r="36">
      <x:c r="A36"/>
      <x:c r="B36"/>
      <x:c r="C36"/>
      <x:c r="D36"/>
      <x:c r="E36"/>
      <x:c r="F36"/>
      <x:c r="G36"/>
      <x:c r="H36"/>
      <x:c r="I36"/>
      <x:c r="J36"/>
    </x:row>
    <x:row r="37">
      <x:c r="A37"/>
      <x:c r="B37"/>
      <x:c r="C37"/>
      <x:c r="D37"/>
      <x:c r="E37"/>
      <x:c r="F37"/>
      <x:c r="G37"/>
      <x:c r="H37"/>
      <x:c r="I37"/>
      <x:c r="J37"/>
    </x:row>
    <x:row r="38">
      <x:c r="A38"/>
      <x:c r="B38"/>
      <x:c r="C38"/>
      <x:c r="D38"/>
      <x:c r="E38"/>
      <x:c r="F38"/>
      <x:c r="G38"/>
      <x:c r="H38"/>
      <x:c r="I38"/>
      <x:c r="J38"/>
    </x:row>
    <x:row r="39">
      <x:c r="A39"/>
      <x:c r="B39"/>
      <x:c r="C39"/>
      <x:c r="D39"/>
      <x:c r="E39"/>
      <x:c r="F39"/>
      <x:c r="G39"/>
      <x:c r="H39"/>
      <x:c r="I39"/>
      <x:c r="J39"/>
    </x:row>
    <x:row r="40">
      <x:c r="A40"/>
      <x:c r="B40"/>
      <x:c r="C40"/>
      <x:c r="D40"/>
      <x:c r="E40"/>
      <x:c r="F40"/>
      <x:c r="G40"/>
      <x:c r="H40"/>
      <x:c r="I40"/>
      <x:c r="J40"/>
    </x:row>
  </x:sheetData>
  <x:mergeCells>
    <x:mergeCell ref="A1:J1"/>
    <x:mergeCell ref="A2:J2"/>
    <x:mergeCell ref="A12:J12"/>
    <x:mergeCell ref="A13:J18"/>
  </x:mergeCells>
  <x:pageMargins left="0.7" right="0.7" top="0.75" bottom="0.75" header="0.3" footer="0.3"/>
</x:worksheet>
</file>