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5c5bcf3e1e431a" /></Relationships>
</file>

<file path=xl/workbook.xml><?xml version="1.0" encoding="utf-8"?>
<x:workbook xmlns:x="http://schemas.openxmlformats.org/spreadsheetml/2006/main">
  <x:sheets>
    <x:sheet xmlns:r="http://schemas.openxmlformats.org/officeDocument/2006/relationships" name="Summary" sheetId="1" r:id="R509cbcabbde24547"/>
    <x:sheet xmlns:r="http://schemas.openxmlformats.org/officeDocument/2006/relationships" name="Plan Settings" sheetId="2" r:id="Ra3af68767d364484"/>
    <x:sheet xmlns:r="http://schemas.openxmlformats.org/officeDocument/2006/relationships" name="Unified Strategy" sheetId="3" r:id="R4c6820d997b84e01"/>
    <x:sheet xmlns:r="http://schemas.openxmlformats.org/officeDocument/2006/relationships" name="Seed-to-Question Map" sheetId="4" r:id="Reb552810398d415c"/>
    <x:sheet xmlns:r="http://schemas.openxmlformats.org/officeDocument/2006/relationships" name="Content Portfolio" sheetId="5" r:id="Rc6b5d9af95e64b66"/>
    <x:sheet xmlns:r="http://schemas.openxmlformats.org/officeDocument/2006/relationships" name="Brief Index" sheetId="6" r:id="R65f7a7d45636415f"/>
    <x:sheet xmlns:r="http://schemas.openxmlformats.org/officeDocument/2006/relationships" name="Execution Briefs" sheetId="7" r:id="R8da50c5977a54d1b"/>
    <x:sheet xmlns:r="http://schemas.openxmlformats.org/officeDocument/2006/relationships" name="CTA Matrix" sheetId="8" r:id="Rbcb19eb706f24c99"/>
    <x:sheet xmlns:r="http://schemas.openxmlformats.org/officeDocument/2006/relationships" name="Publish Source Matrix" sheetId="9" r:id="R6ecd098aca604d85"/>
    <x:sheet xmlns:r="http://schemas.openxmlformats.org/officeDocument/2006/relationships" name="Daily Publishing Schedule" sheetId="10" r:id="R4c7bf48138cb4e37"/>
    <x:sheet xmlns:r="http://schemas.openxmlformats.org/officeDocument/2006/relationships" name="Dashboard" sheetId="11" r:id="R93d3ff9f4baf47fc"/>
    <x:sheet xmlns:r="http://schemas.openxmlformats.org/officeDocument/2006/relationships" name="Codex Notes" sheetId="12" r:id="R821bda6c6e46425f"/>
    <x:sheet xmlns:r="http://schemas.openxmlformats.org/officeDocument/2006/relationships" name="Evergreen Operating Protocol" sheetId="13" r:id="Rdb4c2a700a064254"/>
    <x:sheet xmlns:r="http://schemas.openxmlformats.org/officeDocument/2006/relationships" name="Evergreen Queue" sheetId="14" r:id="Rce46eebacb83439e"/>
    <x:sheet xmlns:r="http://schemas.openxmlformats.org/officeDocument/2006/relationships" name="Next Action" sheetId="15" r:id="R55f525e0b5554996"/>
    <x:sheet xmlns:r="http://schemas.openxmlformats.org/officeDocument/2006/relationships" name="Run Log" sheetId="16" r:id="Rd56e978b12bd4c43"/>
    <x:sheet xmlns:r="http://schemas.openxmlformats.org/officeDocument/2006/relationships" name="Discovery Rules" sheetId="17" r:id="R521dc6872a0c4c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patternType="solid">
          <x:bgColor rgb="FFE2F0D9"/>
        </x:patternFill>
      </x:fill>
    </x:dxf>
    <x:dxf>
      <x:fill>
        <x:patternFill patternType="solid">
          <x:bgColor rgb="FFFFF2CC"/>
        </x:patternFill>
      </x:fill>
    </x:dxf>
    <x:dxf>
      <x:font>
        <x:b/>
      </x:font>
      <x:fill>
        <x:patternFill patternType="solid">
          <x:bgColor rgb="FFFCE4D6"/>
        </x:patternFill>
      </x:fill>
    </x:dxf>
    <x:dxf>
      <x:fill>
        <x:patternFill patternType="solid">
          <x:bgColor rgb="FFD9EAF7"/>
        </x:patternFill>
      </x:fill>
    </x:dxf>
    <x:dxf>
      <x:font>
        <x:b/>
      </x:font>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40431828e140a5" /><Relationship Type="http://schemas.openxmlformats.org/officeDocument/2006/relationships/theme" Target="/xl/theme/theme1.xml" Id="R92d4c5e454b3476f" /><Relationship Type="http://schemas.openxmlformats.org/officeDocument/2006/relationships/sharedStrings" Target="/xl/sharedStrings.xml" Id="R19ad8d136c4d4091" /><Relationship Type="http://schemas.openxmlformats.org/officeDocument/2006/relationships/worksheet" Target="/xl/worksheets/sheet1.xml" Id="R509cbcabbde24547" /><Relationship Type="http://schemas.openxmlformats.org/officeDocument/2006/relationships/worksheet" Target="/xl/worksheets/sheet2.xml" Id="Ra3af68767d364484" /><Relationship Type="http://schemas.openxmlformats.org/officeDocument/2006/relationships/worksheet" Target="/xl/worksheets/sheet3.xml" Id="R4c6820d997b84e01" /><Relationship Type="http://schemas.openxmlformats.org/officeDocument/2006/relationships/worksheet" Target="/xl/worksheets/sheet4.xml" Id="Reb552810398d415c" /><Relationship Type="http://schemas.openxmlformats.org/officeDocument/2006/relationships/worksheet" Target="/xl/worksheets/sheet5.xml" Id="Rc6b5d9af95e64b66" /><Relationship Type="http://schemas.openxmlformats.org/officeDocument/2006/relationships/worksheet" Target="/xl/worksheets/sheet6.xml" Id="R65f7a7d45636415f" /><Relationship Type="http://schemas.openxmlformats.org/officeDocument/2006/relationships/worksheet" Target="/xl/worksheets/sheet7.xml" Id="R8da50c5977a54d1b" /><Relationship Type="http://schemas.openxmlformats.org/officeDocument/2006/relationships/worksheet" Target="/xl/worksheets/sheet8.xml" Id="Rbcb19eb706f24c99" /><Relationship Type="http://schemas.openxmlformats.org/officeDocument/2006/relationships/worksheet" Target="/xl/worksheets/sheet9.xml" Id="R6ecd098aca604d85" /><Relationship Type="http://schemas.openxmlformats.org/officeDocument/2006/relationships/worksheet" Target="/xl/worksheets/sheet10.xml" Id="R4c7bf48138cb4e37" /><Relationship Type="http://schemas.openxmlformats.org/officeDocument/2006/relationships/worksheet" Target="/xl/worksheets/sheet11.xml" Id="R93d3ff9f4baf47fc" /><Relationship Type="http://schemas.openxmlformats.org/officeDocument/2006/relationships/worksheet" Target="/xl/worksheets/sheet12.xml" Id="R821bda6c6e46425f" /><Relationship Type="http://schemas.openxmlformats.org/officeDocument/2006/relationships/worksheet" Target="/xl/worksheets/sheet13.xml" Id="Rdb4c2a700a064254" /><Relationship Type="http://schemas.openxmlformats.org/officeDocument/2006/relationships/worksheet" Target="/xl/worksheets/sheet14.xml" Id="Rce46eebacb83439e" /><Relationship Type="http://schemas.openxmlformats.org/officeDocument/2006/relationships/worksheet" Target="/xl/worksheets/sheet15.xml" Id="R55f525e0b5554996" /><Relationship Type="http://schemas.openxmlformats.org/officeDocument/2006/relationships/worksheet" Target="/xl/worksheets/sheet16.xml" Id="Rd56e978b12bd4c43" /><Relationship Type="http://schemas.openxmlformats.org/officeDocument/2006/relationships/worksheet" Target="/xl/worksheets/sheet17.xml" Id="R521dc6872a0c4c8b"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395b48118f6849eb" /></Relationships>
</file>

<file path=xl/worksheets/_rels/sheet7.xml.rels>&#65279;<?xml version="1.0" encoding="utf-8"?><Relationships xmlns="http://schemas.openxmlformats.org/package/2006/relationships"><Relationship Type="http://schemas.openxmlformats.org/officeDocument/2006/relationships/table" Target="/xl/tables/table2.xml" Id="Rbe52a11785d947f0" /></Relationships>
</file>

<file path=xl/worksheets/_rels/sheet10.xml.rels>&#65279;<?xml version="1.0" encoding="utf-8"?><Relationships xmlns="http://schemas.openxmlformats.org/package/2006/relationships"><Relationship Type="http://schemas.openxmlformats.org/officeDocument/2006/relationships/table" Target="/xl/tables/table3.xml" Id="Rdb0ca425f4674f4c" /></Relationships>
</file>

<file path=xl/worksheets/_rels/sheet14.xml.rels>&#65279;<?xml version="1.0" encoding="utf-8"?><Relationships xmlns="http://schemas.openxmlformats.org/package/2006/relationships"><Relationship Type="http://schemas.openxmlformats.org/officeDocument/2006/relationships/table" Target="/xl/tables/table4.xml" Id="R2e8dda9420334fe9" /></Relationships>
</file>

<file path=xl/worksheets/_rels/sheet16.xml.rels>&#65279;<?xml version="1.0" encoding="utf-8"?><Relationships xmlns="http://schemas.openxmlformats.org/package/2006/relationships"><Relationship Type="http://schemas.openxmlformats.org/officeDocument/2006/relationships/table" Target="/xl/tables/table5.xml" Id="R53a3420ee283452b"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HOME CREDIT – SEO/GEO/AFFILIATE CONTENT SYSTEM</x:v>
      </x:c>
      <x:c r="B1" s="8"/>
      <x:c r="C1" s="8"/>
      <x:c r="D1" s="8"/>
      <x:c r="E1" s="8"/>
      <x:c r="F1" s="8"/>
      <x:c r="G1" s="8"/>
      <x:c r="H1" s="8"/>
    </x:row>
    <x:row r="2">
      <x:c r="A2" s="12" t="str">
        <x:v>Phạm vi: Vay tiền mặt Home Credit + Thẻ tín dụng Home Credit trên 1phutdangky.com. Kết hợp product intent, câu hỏi/giải đáp, trust, internal linking và affiliate CTA theo đúng canonical owner.</x:v>
      </x:c>
      <x:c r="B2" s="12"/>
      <x:c r="C2" s="12"/>
      <x:c r="D2" s="12"/>
      <x:c r="E2" s="12"/>
      <x:c r="F2" s="12"/>
      <x:c r="G2" s="12"/>
      <x:c r="H2" s="12"/>
    </x:row>
    <x:row r="4">
      <x:c r="A4" s="20" t="str">
        <x:v>Strategic decision</x:v>
      </x:c>
      <x:c r="B4" s="20" t="str">
        <x:v>Recommendation</x:v>
      </x:c>
      <x:c r="C4" s="20" t="str">
        <x:v>Why</x:v>
      </x:c>
      <x:c r="D4" s="20" t="str">
        <x:v>Priority</x:v>
      </x:c>
    </x:row>
    <x:row r="5">
      <x:c r="A5" s="22" t="str">
        <x:v>Pillar L – Vay tiền mặt</x:v>
      </x:c>
      <x:c r="B5" s="22" t="str">
        <x:v>Giữ URL hiện tại và tối ưu sâu</x:v>
      </x:c>
      <x:c r="C5" s="22" t="str">
        <x:v>Đây là product/acquisition page đã tồn tại trên 1 Phút Đăng Ký.</x:v>
      </x:c>
      <x:c r="D5" s="22" t="str">
        <x:v>P0</x:v>
      </x:c>
    </x:row>
    <x:row r="6">
      <x:c r="A6" s="22" t="str">
        <x:v>Pillar C – Thẻ tín dụng</x:v>
      </x:c>
      <x:c r="B6" s="22" t="str">
        <x:v>Tạo pillar riêng</x:v>
      </x:c>
      <x:c r="C6" s="22" t="str">
        <x:v>Thẻ tín dụng có intent, điều kiện, phí/lãi, lifecycle và support hoàn toàn khác vay tiền mặt.</x:v>
      </x:c>
      <x:c r="D6" s="22" t="str">
        <x:v>P0</x:v>
      </x:c>
    </x:row>
    <x:row r="7">
      <x:c r="A7" s="22" t="str">
        <x:v>Affiliate conversion</x:v>
      </x:c>
      <x:c r="B7" s="22" t="str">
        <x:v>Đặt trong từng product pillar + support phù hợp</x:v>
      </x:c>
      <x:c r="C7" s="22" t="str">
        <x:v>Home Credit phù hợp product-level conversion; không cần một referral-code pillar riêng.</x:v>
      </x:c>
      <x:c r="D7" s="22" t="str">
        <x:v>P0</x:v>
      </x:c>
    </x:row>
    <x:row r="8">
      <x:c r="A8" s="22" t="str">
        <x:v>Loan support cluster</x:v>
      </x:c>
      <x:c r="B8" s="22" t="str">
        <x:v>Điều kiện, lãi/phí, bị từ chối, giải ngân, thanh toán, tất toán, vay thêm</x:v>
      </x:c>
      <x:c r="C8" s="22" t="str">
        <x:v>Các câu hỏi này nằm ở các giai đoạn khác nhau của hành trình vay.</x:v>
      </x:c>
      <x:c r="D8" s="22" t="str">
        <x:v>P1</x:v>
      </x:c>
    </x:row>
    <x:row r="9">
      <x:c r="A9" s="22" t="str">
        <x:v>Card support cluster</x:v>
      </x:c>
      <x:c r="B9" s="22" t="str">
        <x:v>Điều kiện, phí/lãi, sao kê, tối thiểu, kích hoạt, rút tiền, hạn mức, trả góp</x:v>
      </x:c>
      <x:c r="C9" s="22" t="str">
        <x:v>Hỗ trợ cả pre-application lẫn post-approval.</x:v>
      </x:c>
      <x:c r="D9" s="22" t="str">
        <x:v>P1</x:v>
      </x:c>
    </x:row>
    <x:row r="10">
      <x:c r="A10" s="22" t="str">
        <x:v>Bridge content</x:v>
      </x:c>
      <x:c r="B10" s="22" t="str">
        <x:v>Vay tiền mặt vs thẻ tín dụng Home Credit</x:v>
      </x:c>
      <x:c r="C10" s="22" t="str">
        <x:v>Giúp định tuyến đúng sản phẩm mà không đưa khuyến nghị tài chính cá nhân hóa.</x:v>
      </x:c>
      <x:c r="D10" s="22" t="str">
        <x:v>P1</x:v>
      </x:c>
    </x:row>
    <x:row r="11">
      <x:c r="A11" s="22" t="str">
        <x:v>Source rule</x:v>
      </x:c>
      <x:c r="B11" s="22" t="str">
        <x:v>Home Credit official first</x:v>
      </x:c>
      <x:c r="C11" s="22" t="str">
        <x:v>Phí/lãi/điều kiện thay đổi thường xuyên; phải kiểm nguồn hiện hành trước publish.</x:v>
      </x:c>
      <x:c r="D11" s="22" t="str">
        <x:v>P0</x:v>
      </x:c>
    </x:row>
    <x:row r="13">
      <x:c r="A13" s="67" t="str">
        <x:v>EVERGREEN ENGINE ADDED</x:v>
      </x:c>
      <x:c r="B13" s="67"/>
      <x:c r="C13" s="67"/>
      <x:c r="D13" s="67"/>
    </x:row>
    <x:row r="14">
      <x:c r="A14" s="22" t="str">
        <x:v>Daily command</x:v>
      </x:c>
      <x:c r="B14" s="22" t="str">
        <x:v>Bắt đầu tạo bài mới Home Credit</x:v>
      </x:c>
      <x:c r="C14" s="22" t="str">
        <x:v>Codex selects next Ready item</x:v>
      </x:c>
      <x:c r="D14" s="22" t="str">
        <x:v>No day-count dependency</x:v>
      </x:c>
    </x:row>
    <x:row r="15">
      <x:c r="A15" s="22" t="str">
        <x:v>State</x:v>
      </x:c>
      <x:c r="B15" s="22" t="str">
        <x:v>Evergreen Queue + Run Log</x:v>
      </x:c>
      <x:c r="C15" s="22" t="str">
        <x:v>Persists what was done</x:v>
      </x:c>
      <x:c r="D15" s="22" t="str">
        <x:v>Next run continues automatically</x:v>
      </x:c>
    </x:row>
    <x:row r="16">
      <x:c r="A16" s="22" t="str">
        <x:v>After initial 60</x:v>
      </x:c>
      <x:c r="B16" s="22" t="str">
        <x:v>Discovery Mode</x:v>
      </x:c>
      <x:c r="C16" s="22" t="str">
        <x:v>Adds evidence-based candidates</x:v>
      </x:c>
      <x:c r="D16" s="22" t="str">
        <x:v>No need for new manual plan</x:v>
      </x:c>
    </x:row>
    <x:row r="17">
      <x:c r="A17" s="22" t="str">
        <x:v>URL rule</x:v>
      </x:c>
      <x:c r="B17" s="22" t="str">
        <x:v>New URL only when intent/source/cannibalization gate passes</x:v>
      </x:c>
      <x:c r="C17" s="22" t="str">
        <x:v>Else update/section</x:v>
      </x:c>
      <x:c r="D17" s="22" t="str">
        <x:v>Avoid thin content</x:v>
      </x:c>
    </x:row>
    <x:row r="18">
      <x:c r="A18" s="22" t="str">
        <x:v>Deployment</x:v>
      </x:c>
      <x:c r="B18" s="22" t="str">
        <x:v>Use existing GitHub + Cloudflare workflow</x:v>
      </x:c>
      <x:c r="C18" s="22" t="str">
        <x:v>Commit/deploy after checks when authorized</x:v>
      </x:c>
      <x:c r="D18" s="22" t="str">
        <x:v>Log commit/deploy</x:v>
      </x:c>
    </x:row>
    <x:row r="19">
      <x:c r="A19" s="22" t="str">
        <x:v>Operator effort</x:v>
      </x:c>
      <x:c r="B19" s="22" t="str">
        <x:v>One command per run</x:v>
      </x:c>
      <x:c r="C19" s="22" t="str">
        <x:v>User reviews report only</x:v>
      </x:c>
      <x:c r="D19" s="22" t="str">
        <x:v>No topic selection required</x:v>
      </x:c>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HOME CREDIT – PLAN SETTINGS</x:v>
      </x:c>
      <x:c r="B1" s="28"/>
      <x:c r="C1" s="28"/>
      <x:c r="D1" s="28"/>
    </x:row>
    <x:row r="3">
      <x:c r="A3" s="20" t="str">
        <x:v>Setting</x:v>
      </x:c>
      <x:c r="B3" s="20" t="str">
        <x:v>Value</x:v>
      </x:c>
      <x:c r="C3" s="20" t="str">
        <x:v>Meaning</x:v>
      </x:c>
      <x:c r="D3" s="20" t="str">
        <x:v>Editable?</x:v>
      </x:c>
    </x:row>
    <x:row r="4">
      <x:c r="A4" s="22" t="str">
        <x:v>Start date</x:v>
      </x:c>
      <x:c r="B4" s="32" t="n">
        <x:v>46323</x:v>
      </x:c>
      <x:c r="C4" s="22" t="str">
        <x:v>Ngày 1 của Daily Publishing Schedule</x:v>
      </x:c>
      <x:c r="D4" s="22" t="str">
        <x:v>Yes</x:v>
      </x:c>
    </x:row>
    <x:row r="5">
      <x:c r="A5" s="22" t="str">
        <x:v>Plan length</x:v>
      </x:c>
      <x:c r="B5" s="22" t="n">
        <x:v>60</x:v>
      </x:c>
      <x:c r="C5" s="22" t="str">
        <x:v>Chu kỳ nội dung</x:v>
      </x:c>
      <x:c r="D5" s="22" t="str">
        <x:v>No</x:v>
      </x:c>
    </x:row>
    <x:row r="6">
      <x:c r="A6" s="22" t="str">
        <x:v>Website</x:v>
      </x:c>
      <x:c r="B6" s="22" t="str">
        <x:v>https://1phutdangky.com</x:v>
      </x:c>
      <x:c r="C6" s="22" t="str">
        <x:v>Target site</x:v>
      </x:c>
      <x:c r="D6" s="22" t="str">
        <x:v>No</x:v>
      </x:c>
    </x:row>
    <x:row r="7">
      <x:c r="A7" s="22" t="str">
        <x:v>Pillar L – Cash Loan</x:v>
      </x:c>
      <x:c r="B7" s="22" t="str">
        <x:v>https://1phutdangky.com/vay-tien-mat/vay-tien-mat-home-credit-online/</x:v>
      </x:c>
      <x:c r="C7" s="22" t="str">
        <x:v>Existing URL – keep</x:v>
      </x:c>
      <x:c r="D7" s="22" t="str">
        <x:v>No</x:v>
      </x:c>
    </x:row>
    <x:row r="8">
      <x:c r="A8" s="22" t="str">
        <x:v>Pillar C – Credit Card</x:v>
      </x:c>
      <x:c r="B8" s="22" t="str">
        <x:v>https://1phutdangky.com/the-tin-dung/mo-the-tin-dung-home-credit-online/</x:v>
      </x:c>
      <x:c r="C8" s="22" t="str">
        <x:v>Candidate new URL</x:v>
      </x:c>
      <x:c r="D8" s="22" t="str">
        <x:v>Slug can follow project conventions</x:v>
      </x:c>
    </x:row>
    <x:row r="9">
      <x:c r="A9" s="22" t="str">
        <x:v>Conversion model</x:v>
      </x:c>
      <x:c r="B9" s="22" t="str">
        <x:v>Product-level affiliate CTA</x:v>
      </x:c>
      <x:c r="C9" s="22" t="str">
        <x:v>Không tách referral-code pillar riêng</x:v>
      </x:c>
      <x:c r="D9" s="22" t="str">
        <x:v>No</x:v>
      </x:c>
    </x:row>
    <x:row r="10">
      <x:c r="A10" s="22" t="str">
        <x:v>Loan rate rule</x:v>
      </x:c>
      <x:c r="B10" s="22" t="str">
        <x:v>Không trộn lãi suất phẳng với lãi suất dư nợ giảm dần</x:v>
      </x:c>
      <x:c r="C10" s="22" t="str">
        <x:v>Nếu cùng bài, phải ghi rõ loại lãi và nguồn</x:v>
      </x:c>
      <x:c r="D10" s="22" t="str">
        <x:v>No</x:v>
      </x:c>
    </x:row>
    <x:row r="11">
      <x:c r="A11" s="22" t="str">
        <x:v>Approval rule</x:v>
      </x:c>
      <x:c r="B11" s="22" t="str">
        <x:v>Không hứa chắc chắn được duyệt / hạn mức / giải ngân</x:v>
      </x:c>
      <x:c r="C11" s="22" t="str">
        <x:v>Home Credit thẩm định từng hồ sơ</x:v>
      </x:c>
      <x:c r="D11" s="22" t="str">
        <x:v>No</x:v>
      </x:c>
    </x:row>
    <x:row r="12">
      <x:c r="A12" s="22" t="str">
        <x:v>Credit-card tariff rule</x:v>
      </x:c>
      <x:c r="B12" s="22" t="str">
        <x:v>Luôn kiểm biểu phí hiện hành mới nhất</x:v>
      </x:c>
      <x:c r="C12" s="22" t="str">
        <x:v>Home Credit có nhiều đợt cập nhật trong 2026</x:v>
      </x:c>
      <x:c r="D12" s="22" t="str">
        <x:v>No</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HOME CREDIT – UNIFIED STRATEGY</x:v>
      </x:c>
      <x:c r="B1" s="38"/>
      <x:c r="C1" s="38"/>
      <x:c r="D1" s="38"/>
      <x:c r="E1" s="38"/>
      <x:c r="F1" s="38"/>
      <x:c r="G1" s="38"/>
      <x:c r="H1" s="38"/>
      <x:c r="I1" s="38"/>
      <x:c r="J1" s="38"/>
    </x:row>
    <x:row r="2">
      <x:c r="A2" s="42" t="str">
        <x:v>Không có file keyword riêng cho Home Credit trong task này, nên workbook dùng product seed từ URL hiện tại + official Home Credit + SERP question patterns. Các query expansion được đánh dấu là research-led, không gán volume giả.</x:v>
      </x:c>
      <x:c r="B2" s="42"/>
      <x:c r="C2" s="42"/>
      <x:c r="D2" s="42"/>
      <x:c r="E2" s="42"/>
      <x:c r="F2" s="42"/>
      <x:c r="G2" s="42"/>
      <x:c r="H2" s="42"/>
      <x:c r="I2" s="42"/>
      <x:c r="J2" s="42"/>
    </x:row>
    <x:row r="4">
      <x:c r="A4" s="20" t="str">
        <x:v>Layer</x:v>
      </x:c>
      <x:c r="B4" s="20" t="str">
        <x:v>Primary owner</x:v>
      </x:c>
      <x:c r="C4" s="20" t="str">
        <x:v>Business job</x:v>
      </x:c>
      <x:c r="D4" s="20" t="str">
        <x:v>Intent family</x:v>
      </x:c>
      <x:c r="E4" s="20" t="str">
        <x:v>Affiliate value</x:v>
      </x:c>
      <x:c r="F4" s="20" t="str">
        <x:v>SEO/GEO role</x:v>
      </x:c>
      <x:c r="G4" s="20" t="str">
        <x:v>Default unit</x:v>
      </x:c>
      <x:c r="H4" s="20" t="str">
        <x:v>CTA strength</x:v>
      </x:c>
      <x:c r="I4" s="20" t="str">
        <x:v>Source volatility</x:v>
      </x:c>
      <x:c r="J4" s="20" t="str">
        <x:v>Priority</x:v>
      </x:c>
    </x:row>
    <x:row r="5">
      <x:c r="A5" s="22" t="str">
        <x:v>Cash Loan Acquisition</x:v>
      </x:c>
      <x:c r="B5" s="22" t="str">
        <x:v>Pillar L</x:v>
      </x:c>
      <x:c r="C5" s="22" t="str">
        <x:v>Thu hút người đang tìm vay tiền mặt Home Credit</x:v>
      </x:c>
      <x:c r="D5" s="22" t="str">
        <x:v>Transactional loan</x:v>
      </x:c>
      <x:c r="E5" s="22" t="str">
        <x:v>Very High</x:v>
      </x:c>
      <x:c r="F5" s="22" t="str">
        <x:v>Money page / canonical owner</x:v>
      </x:c>
      <x:c r="G5" s="22" t="str">
        <x:v>Existing pillar</x:v>
      </x:c>
      <x:c r="H5" s="22" t="str">
        <x:v>High</x:v>
      </x:c>
      <x:c r="I5" s="22" t="str">
        <x:v>High</x:v>
      </x:c>
      <x:c r="J5" s="22" t="str">
        <x:v>P0</x:v>
      </x:c>
    </x:row>
    <x:row r="6">
      <x:c r="A6" s="22" t="str">
        <x:v>Credit Card Acquisition</x:v>
      </x:c>
      <x:c r="B6" s="22" t="str">
        <x:v>Pillar C</x:v>
      </x:c>
      <x:c r="C6" s="22" t="str">
        <x:v>Thu hút người muốn mở thẻ tín dụng Home Credit</x:v>
      </x:c>
      <x:c r="D6" s="22" t="str">
        <x:v>Transactional card</x:v>
      </x:c>
      <x:c r="E6" s="22" t="str">
        <x:v>Very High</x:v>
      </x:c>
      <x:c r="F6" s="22" t="str">
        <x:v>Money page / canonical owner</x:v>
      </x:c>
      <x:c r="G6" s="22" t="str">
        <x:v>New pillar</x:v>
      </x:c>
      <x:c r="H6" s="22" t="str">
        <x:v>High</x:v>
      </x:c>
      <x:c r="I6" s="22" t="str">
        <x:v>Very High</x:v>
      </x:c>
      <x:c r="J6" s="22" t="str">
        <x:v>P0</x:v>
      </x:c>
    </x:row>
    <x:row r="7">
      <x:c r="A7" s="22" t="str">
        <x:v>Loan Qualification</x:v>
      </x:c>
      <x:c r="B7" s="22" t="str">
        <x:v>Pillar L + support</x:v>
      </x:c>
      <x:c r="C7" s="22" t="str">
        <x:v>Điều kiện, hồ sơ, độ tuổi, giấy tờ</x:v>
      </x:c>
      <x:c r="D7" s="22" t="str">
        <x:v>Eligibility</x:v>
      </x:c>
      <x:c r="E7" s="22" t="str">
        <x:v>High</x:v>
      </x:c>
      <x:c r="F7" s="22" t="str">
        <x:v>Pre-action answers</x:v>
      </x:c>
      <x:c r="G7" s="22" t="str">
        <x:v>Support articles / sections</x:v>
      </x:c>
      <x:c r="H7" s="22" t="str">
        <x:v>Medium</x:v>
      </x:c>
      <x:c r="I7" s="22" t="str">
        <x:v>Medium</x:v>
      </x:c>
      <x:c r="J7" s="22" t="str">
        <x:v>P1</x:v>
      </x:c>
    </x:row>
    <x:row r="8">
      <x:c r="A8" s="22" t="str">
        <x:v>Loan Cost</x:v>
      </x:c>
      <x:c r="B8" s="22" t="str">
        <x:v>Pillar L + support</x:v>
      </x:c>
      <x:c r="C8" s="22" t="str">
        <x:v>Lãi, phí, bảo hiểm, tất toán</x:v>
      </x:c>
      <x:c r="D8" s="22" t="str">
        <x:v>Cost / YMYL</x:v>
      </x:c>
      <x:c r="E8" s="22" t="str">
        <x:v>High</x:v>
      </x:c>
      <x:c r="F8" s="22" t="str">
        <x:v>Decision-support</x:v>
      </x:c>
      <x:c r="G8" s="22" t="str">
        <x:v>Support / dynamic tables</x:v>
      </x:c>
      <x:c r="H8" s="22" t="str">
        <x:v>Medium</x:v>
      </x:c>
      <x:c r="I8" s="22" t="str">
        <x:v>Very High</x:v>
      </x:c>
      <x:c r="J8" s="22" t="str">
        <x:v>P0</x:v>
      </x:c>
    </x:row>
    <x:row r="9">
      <x:c r="A9" s="22" t="str">
        <x:v>Loan Troubleshooting</x:v>
      </x:c>
      <x:c r="B9" s="22" t="str">
        <x:v>Loan support</x:v>
      </x:c>
      <x:c r="C9" s="22" t="str">
        <x:v>Bị từ chối, giải ngân, app/hồ sơ, vay thêm</x:v>
      </x:c>
      <x:c r="D9" s="22" t="str">
        <x:v>Problem</x:v>
      </x:c>
      <x:c r="E9" s="22" t="str">
        <x:v>Medium-High</x:v>
      </x:c>
      <x:c r="F9" s="22" t="str">
        <x:v>Task completion</x:v>
      </x:c>
      <x:c r="G9" s="22" t="str">
        <x:v>Support hub/articles</x:v>
      </x:c>
      <x:c r="H9" s="22" t="str">
        <x:v>Low-Medium</x:v>
      </x:c>
      <x:c r="I9" s="22" t="str">
        <x:v>Medium</x:v>
      </x:c>
      <x:c r="J9" s="22" t="str">
        <x:v>P1</x:v>
      </x:c>
    </x:row>
    <x:row r="10">
      <x:c r="A10" s="22" t="str">
        <x:v>Loan Servicing</x:v>
      </x:c>
      <x:c r="B10" s="22" t="str">
        <x:v>Loan support</x:v>
      </x:c>
      <x:c r="C10" s="22" t="str">
        <x:v>Thanh toán, trễ hạn, quản lý hợp đồng</x:v>
      </x:c>
      <x:c r="D10" s="22" t="str">
        <x:v>Post-action</x:v>
      </x:c>
      <x:c r="E10" s="22" t="str">
        <x:v>Medium</x:v>
      </x:c>
      <x:c r="F10" s="22" t="str">
        <x:v>Retention / utility</x:v>
      </x:c>
      <x:c r="G10" s="22" t="str">
        <x:v>Support articles / FAQ</x:v>
      </x:c>
      <x:c r="H10" s="22" t="str">
        <x:v>Low</x:v>
      </x:c>
      <x:c r="I10" s="22" t="str">
        <x:v>Medium</x:v>
      </x:c>
      <x:c r="J10" s="22" t="str">
        <x:v>P1</x:v>
      </x:c>
    </x:row>
    <x:row r="11">
      <x:c r="A11" s="22" t="str">
        <x:v>Card Qualification</x:v>
      </x:c>
      <x:c r="B11" s="22" t="str">
        <x:v>Pillar C + support</x:v>
      </x:c>
      <x:c r="C11" s="22" t="str">
        <x:v>Điều kiện, giấy tờ, tuổi, hạn mức</x:v>
      </x:c>
      <x:c r="D11" s="22" t="str">
        <x:v>Eligibility</x:v>
      </x:c>
      <x:c r="E11" s="22" t="str">
        <x:v>High</x:v>
      </x:c>
      <x:c r="F11" s="22" t="str">
        <x:v>Pre-action answers</x:v>
      </x:c>
      <x:c r="G11" s="22" t="str">
        <x:v>Support / sections</x:v>
      </x:c>
      <x:c r="H11" s="22" t="str">
        <x:v>Medium</x:v>
      </x:c>
      <x:c r="I11" s="22" t="str">
        <x:v>Medium</x:v>
      </x:c>
      <x:c r="J11" s="22" t="str">
        <x:v>P1</x:v>
      </x:c>
    </x:row>
    <x:row r="12">
      <x:c r="A12" s="22" t="str">
        <x:v>Card Cost &amp; Lifecycle</x:v>
      </x:c>
      <x:c r="B12" s="22" t="str">
        <x:v>Pillar C + support</x:v>
      </x:c>
      <x:c r="C12" s="22" t="str">
        <x:v>Phí/lãi, sao kê, tối thiểu, rút tiền, trả góp</x:v>
      </x:c>
      <x:c r="D12" s="22" t="str">
        <x:v>Cost / post-action</x:v>
      </x:c>
      <x:c r="E12" s="22" t="str">
        <x:v>High</x:v>
      </x:c>
      <x:c r="F12" s="22" t="str">
        <x:v>Decision + servicing</x:v>
      </x:c>
      <x:c r="G12" s="22" t="str">
        <x:v>Support articles</x:v>
      </x:c>
      <x:c r="H12" s="22" t="str">
        <x:v>Low-Medium</x:v>
      </x:c>
      <x:c r="I12" s="22" t="str">
        <x:v>Very High</x:v>
      </x:c>
      <x:c r="J12" s="22" t="str">
        <x:v>P0</x:v>
      </x:c>
    </x:row>
    <x:row r="13">
      <x:c r="A13" s="22" t="str">
        <x:v>Bridge</x:v>
      </x:c>
      <x:c r="B13" s="22" t="str">
        <x:v>Loan ↔ Card</x:v>
      </x:c>
      <x:c r="C13" s="22" t="str">
        <x:v>Giúp chọn đúng loại sản phẩm theo nhu cầu thông tin</x:v>
      </x:c>
      <x:c r="D13" s="22" t="str">
        <x:v>Clarification</x:v>
      </x:c>
      <x:c r="E13" s="22" t="str">
        <x:v>Medium</x:v>
      </x:c>
      <x:c r="F13" s="22" t="str">
        <x:v>Entity/intent routing</x:v>
      </x:c>
      <x:c r="G13" s="22" t="str">
        <x:v>Bridge article</x:v>
      </x:c>
      <x:c r="H13" s="22" t="str">
        <x:v>Low-Medium</x:v>
      </x:c>
      <x:c r="I13" s="22" t="str">
        <x:v>Medium</x:v>
      </x:c>
      <x:c r="J13" s="22" t="str">
        <x:v>P1</x:v>
      </x:c>
    </x:row>
    <x:row r="14">
      <x:c r="A14" s="22" t="str">
        <x:v>Trust &amp; Safety</x:v>
      </x:c>
      <x:c r="B14" s="22" t="str">
        <x:v>All</x:v>
      </x:c>
      <x:c r="C14" s="22" t="str">
        <x:v>Official link/app, không chia sẻ OTP/PIN, disclosure</x:v>
      </x:c>
      <x:c r="D14" s="22" t="str">
        <x:v>Trust</x:v>
      </x:c>
      <x:c r="E14" s="22" t="str">
        <x:v>High</x:v>
      </x:c>
      <x:c r="F14" s="22" t="str">
        <x:v>YMYL trust</x:v>
      </x:c>
      <x:c r="G14" s="22" t="str">
        <x:v>Sections / support</x:v>
      </x:c>
      <x:c r="H14" s="22" t="str">
        <x:v>Low</x:v>
      </x:c>
      <x:c r="I14" s="22" t="str">
        <x:v>Low</x:v>
      </x:c>
      <x:c r="J14" s="22" t="str">
        <x:v>P1</x:v>
      </x:c>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HOME CREDIT – SEED → QUESTION / PROBLEM / CONVERSION MAP</x:v>
      </x:c>
      <x:c r="B1" s="28"/>
      <x:c r="C1" s="28"/>
      <x:c r="D1" s="28"/>
      <x:c r="E1" s="28"/>
      <x:c r="F1" s="28"/>
      <x:c r="G1" s="28"/>
      <x:c r="H1" s="28"/>
      <x:c r="I1" s="28"/>
      <x:c r="J1" s="28"/>
      <x:c r="K1" s="28"/>
      <x:c r="L1" s="28"/>
      <x:c r="M1" s="28"/>
      <x:c r="N1" s="28"/>
      <x:c r="O1" s="28"/>
      <x:c r="P1" s="28"/>
      <x:c r="Q1" s="28"/>
    </x:row>
    <x:row r="2">
      <x:c r="A2" s="12" t="str">
        <x:v>Evidence = official Home Credit / current SERP. 'New URL' chỉ là recommendation; Codex vẫn phải kiểm publish gate trước khi tạo route.</x:v>
      </x:c>
      <x:c r="B2" s="12"/>
      <x:c r="C2" s="12"/>
      <x:c r="D2" s="12"/>
      <x:c r="E2" s="12"/>
      <x:c r="F2" s="12"/>
      <x:c r="G2" s="12"/>
      <x:c r="H2" s="12"/>
      <x:c r="I2" s="12"/>
      <x:c r="J2" s="12"/>
      <x:c r="K2" s="12"/>
      <x:c r="L2" s="12"/>
      <x:c r="M2" s="12"/>
      <x:c r="N2" s="12"/>
      <x:c r="O2" s="12"/>
      <x:c r="P2" s="12"/>
      <x:c r="Q2" s="12"/>
    </x:row>
    <x:row r="4">
      <x:c r="A4" s="20" t="str">
        <x:v>ID</x:v>
      </x:c>
      <x:c r="B4" s="20" t="str">
        <x:v>Product</x:v>
      </x:c>
      <x:c r="C4" s="20" t="str">
        <x:v>Seed/topic</x:v>
      </x:c>
      <x:c r="D4" s="20" t="str">
        <x:v>Expansion query/topic</x:v>
      </x:c>
      <x:c r="E4" s="20" t="str">
        <x:v>Journey stage</x:v>
      </x:c>
      <x:c r="F4" s="20" t="str">
        <x:v>Intent type</x:v>
      </x:c>
      <x:c r="G4" s="20" t="str">
        <x:v>Affiliate value</x:v>
      </x:c>
      <x:c r="H4" s="20" t="str">
        <x:v>Evidence</x:v>
      </x:c>
      <x:c r="I4" s="20" t="str">
        <x:v>Source readiness</x:v>
      </x:c>
      <x:c r="J4" s="20" t="str">
        <x:v>Canonical owner</x:v>
      </x:c>
      <x:c r="K4" s="20" t="str">
        <x:v>Recommended unit</x:v>
      </x:c>
      <x:c r="L4" s="20" t="str">
        <x:v>New URL?</x:v>
      </x:c>
      <x:c r="M4" s="20" t="str">
        <x:v>Priority</x:v>
      </x:c>
      <x:c r="N4" s="20" t="str">
        <x:v>GEO answer target</x:v>
      </x:c>
      <x:c r="O4" s="20" t="str">
        <x:v>Primary source</x:v>
      </x:c>
      <x:c r="P4" s="20" t="str">
        <x:v>Volatility</x:v>
      </x:c>
      <x:c r="Q4" s="20" t="str">
        <x:v>Notes</x:v>
      </x:c>
    </x:row>
    <x:row r="5">
      <x:c r="A5" s="22" t="str">
        <x:v>L01</x:v>
      </x:c>
      <x:c r="B5" s="22" t="str">
        <x:v>Cash Loan</x:v>
      </x:c>
      <x:c r="C5" s="22" t="str">
        <x:v>vay tiền mặt Home Credit online</x:v>
      </x:c>
      <x:c r="D5" s="22" t="str">
        <x:v>Vay tiền mặt Home Credit online</x:v>
      </x:c>
      <x:c r="E5" s="22" t="str">
        <x:v>Acquisition</x:v>
      </x:c>
      <x:c r="F5" s="22" t="str">
        <x:v>Transactional</x:v>
      </x:c>
      <x:c r="G5" s="22" t="str">
        <x:v>Very High</x:v>
      </x:c>
      <x:c r="H5" s="22" t="str">
        <x:v>Owned page + official</x:v>
      </x:c>
      <x:c r="I5" s="22" t="str">
        <x:v>Good</x:v>
      </x:c>
      <x:c r="J5" s="22" t="str">
        <x:v>Pillar L</x:v>
      </x:c>
      <x:c r="K5" s="22" t="str">
        <x:v>Existing pillar</x:v>
      </x:c>
      <x:c r="L5" s="22" t="str">
        <x:v>Keep</x:v>
      </x:c>
      <x:c r="M5" s="22" t="str">
        <x:v>P0</x:v>
      </x:c>
      <x:c r="N5" s="22" t="str">
        <x:v>Giải thích sản phẩm, điều kiện, chi phí, quy trình và thẩm định.</x:v>
      </x:c>
      <x:c r="O5" s="22" t="str">
        <x:v>https://1phutdangky.com/vay-tien-mat/vay-tien-mat-home-credit-online/</x:v>
      </x:c>
      <x:c r="P5" s="22" t="str">
        <x:v>High</x:v>
      </x:c>
      <x:c r="Q5" s="22" t="str">
        <x:v>Existing money page.</x:v>
      </x:c>
    </x:row>
    <x:row r="6">
      <x:c r="A6" s="22" t="str">
        <x:v>L02</x:v>
      </x:c>
      <x:c r="B6" s="22" t="str">
        <x:v>Cash Loan</x:v>
      </x:c>
      <x:c r="C6" s="22" t="str">
        <x:v>vay Home Credit</x:v>
      </x:c>
      <x:c r="D6" s="22" t="str">
        <x:v>Vay Home Credit cần gì? Điều kiện và giấy tờ</x:v>
      </x:c>
      <x:c r="E6" s="22" t="str">
        <x:v>Pre-action</x:v>
      </x:c>
      <x:c r="F6" s="22" t="str">
        <x:v>Eligibility</x:v>
      </x:c>
      <x:c r="G6" s="22" t="str">
        <x:v>High</x:v>
      </x:c>
      <x:c r="H6" s="22" t="str">
        <x:v>Official</x:v>
      </x:c>
      <x:c r="I6" s="22" t="str">
        <x:v>Good</x:v>
      </x:c>
      <x:c r="J6" s="22" t="str">
        <x:v>Support L-Need</x:v>
      </x:c>
      <x:c r="K6" s="22" t="str">
        <x:v>Support article</x:v>
      </x:c>
      <x:c r="L6" s="22" t="str">
        <x:v>Yes</x:v>
      </x:c>
      <x:c r="M6" s="22" t="str">
        <x:v>P1</x:v>
      </x:c>
      <x:c r="N6" s="22" t="str">
        <x:v>Nêu tuổi/CCCD/chứng từ bổ sung có thể được yêu cầu.</x:v>
      </x:c>
      <x:c r="O6" s="22" t="str">
        <x:v>https://www.homecredit.vn/blog/cap-nhat-hop-dong-cho-vay-tien-mat</x:v>
      </x:c>
      <x:c r="P6" s="22" t="str">
        <x:v>Medium</x:v>
      </x:c>
      <x:c r="Q6" s="22" t="str">
        <x:v>Không hứa chỉ cần 1 giấy tờ cho mọi hạn mức.</x:v>
      </x:c>
    </x:row>
    <x:row r="7">
      <x:c r="A7" s="22" t="str">
        <x:v>L03</x:v>
      </x:c>
      <x:c r="B7" s="22" t="str">
        <x:v>Cash Loan</x:v>
      </x:c>
      <x:c r="C7" s="22" t="str">
        <x:v>vay Home Credit</x:v>
      </x:c>
      <x:c r="D7" s="22" t="str">
        <x:v>Bao nhiêu tuổi được vay tiền mặt Home Credit?</x:v>
      </x:c>
      <x:c r="E7" s="22" t="str">
        <x:v>Pre-action</x:v>
      </x:c>
      <x:c r="F7" s="22" t="str">
        <x:v>Eligibility age</x:v>
      </x:c>
      <x:c r="G7" s="22" t="str">
        <x:v>High</x:v>
      </x:c>
      <x:c r="H7" s="22" t="str">
        <x:v>Official</x:v>
      </x:c>
      <x:c r="I7" s="22" t="str">
        <x:v>Good</x:v>
      </x:c>
      <x:c r="J7" s="22" t="str">
        <x:v>Support L-Age</x:v>
      </x:c>
      <x:c r="K7" s="22" t="str">
        <x:v>Support article / section</x:v>
      </x:c>
      <x:c r="L7" s="22" t="str">
        <x:v>Conditional</x:v>
      </x:c>
      <x:c r="M7" s="22" t="str">
        <x:v>P1</x:v>
      </x:c>
      <x:c r="N7" s="22" t="str">
        <x:v>Home Credit công bố cash loan dành cho nhóm tuổi sản phẩm hiện hành; kiểm lại trước publish.</x:v>
      </x:c>
      <x:c r="O7" s="22" t="str">
        <x:v>https://www.homecredit.vn/blog/do-tuoi-duoc-vay-tien-clx</x:v>
      </x:c>
      <x:c r="P7" s="22" t="str">
        <x:v>Medium</x:v>
      </x:c>
      <x:c r="Q7" s="22" t="str">
        <x:v>Age is YMYL.</x:v>
      </x:c>
    </x:row>
    <x:row r="8">
      <x:c r="A8" s="22" t="str">
        <x:v>L04</x:v>
      </x:c>
      <x:c r="B8" s="22" t="str">
        <x:v>Cash Loan</x:v>
      </x:c>
      <x:c r="C8" s="22" t="str">
        <x:v>lãi suất Home Credit</x:v>
      </x:c>
      <x:c r="D8" s="22" t="str">
        <x:v>Lãi suất vay tiền mặt Home Credit tính thế nào?</x:v>
      </x:c>
      <x:c r="E8" s="22" t="str">
        <x:v>Pre-action</x:v>
      </x:c>
      <x:c r="F8" s="22" t="str">
        <x:v>Cost</x:v>
      </x:c>
      <x:c r="G8" s="22" t="str">
        <x:v>Very High</x:v>
      </x:c>
      <x:c r="H8" s="22" t="str">
        <x:v>Official</x:v>
      </x:c>
      <x:c r="I8" s="22" t="str">
        <x:v>Good</x:v>
      </x:c>
      <x:c r="J8" s="22" t="str">
        <x:v>Support L-Rate</x:v>
      </x:c>
      <x:c r="K8" s="22" t="str">
        <x:v>Support article</x:v>
      </x:c>
      <x:c r="L8" s="22" t="str">
        <x:v>Yes</x:v>
      </x:c>
      <x:c r="M8" s="22" t="str">
        <x:v>P0</x:v>
      </x:c>
      <x:c r="N8" s="22" t="str">
        <x:v>Phân biệt lãi suất phẳng và dư nợ giảm dần, tổng số tiền phải trả.</x:v>
      </x:c>
      <x:c r="O8" s="22" t="str">
        <x:v>https://www.homecredit.vn/faq/vay-tien-mat</x:v>
      </x:c>
      <x:c r="P8" s="22" t="str">
        <x:v>Very High</x:v>
      </x:c>
      <x:c r="Q8" s="22" t="str">
        <x:v>Không tự quy đổi nếu không ghi công thức/nguồn.</x:v>
      </x:c>
    </x:row>
    <x:row r="9">
      <x:c r="A9" s="22" t="str">
        <x:v>L05</x:v>
      </x:c>
      <x:c r="B9" s="22" t="str">
        <x:v>Cash Loan</x:v>
      </x:c>
      <x:c r="C9" s="22" t="str">
        <x:v>vay Home Credit</x:v>
      </x:c>
      <x:c r="D9" s="22" t="str">
        <x:v>Hạn mức và kỳ hạn vay Home Credit</x:v>
      </x:c>
      <x:c r="E9" s="22" t="str">
        <x:v>Pre-action</x:v>
      </x:c>
      <x:c r="F9" s="22" t="str">
        <x:v>Limit/term</x:v>
      </x:c>
      <x:c r="G9" s="22" t="str">
        <x:v>High</x:v>
      </x:c>
      <x:c r="H9" s="22" t="str">
        <x:v>Official</x:v>
      </x:c>
      <x:c r="I9" s="22" t="str">
        <x:v>Good</x:v>
      </x:c>
      <x:c r="J9" s="22" t="str">
        <x:v>Pillar L / L-Rate</x:v>
      </x:c>
      <x:c r="K9" s="22" t="str">
        <x:v>Section / table</x:v>
      </x:c>
      <x:c r="L9" s="22" t="str">
        <x:v>No</x:v>
      </x:c>
      <x:c r="M9" s="22" t="str">
        <x:v>P1</x:v>
      </x:c>
      <x:c r="N9" s="22" t="str">
        <x:v>Nêu khoảng công bố và việc hạn mức thực tế do thẩm định.</x:v>
      </x:c>
      <x:c r="O9" s="22" t="str">
        <x:v>https://dangky.homecredit.vn/vay-tien</x:v>
      </x:c>
      <x:c r="P9" s="22" t="str">
        <x:v>High</x:v>
      </x:c>
      <x:c r="Q9" s="22" t="str">
        <x:v>Dynamic product terms.</x:v>
      </x:c>
    </x:row>
    <x:row r="10">
      <x:c r="A10" s="22" t="str">
        <x:v>L06</x:v>
      </x:c>
      <x:c r="B10" s="22" t="str">
        <x:v>Cash Loan</x:v>
      </x:c>
      <x:c r="C10" s="22" t="str">
        <x:v>vay Home Credit online</x:v>
      </x:c>
      <x:c r="D10" s="22" t="str">
        <x:v>Home Credit duyệt hồ sơ bao lâu? Giải ngân bao lâu?</x:v>
      </x:c>
      <x:c r="E10" s="22" t="str">
        <x:v>During-action</x:v>
      </x:c>
      <x:c r="F10" s="22" t="str">
        <x:v>Timing</x:v>
      </x:c>
      <x:c r="G10" s="22" t="str">
        <x:v>High</x:v>
      </x:c>
      <x:c r="H10" s="22" t="str">
        <x:v>Official</x:v>
      </x:c>
      <x:c r="I10" s="22" t="str">
        <x:v>Good</x:v>
      </x:c>
      <x:c r="J10" s="22" t="str">
        <x:v>Support L-Time</x:v>
      </x:c>
      <x:c r="K10" s="22" t="str">
        <x:v>Support article / FAQ</x:v>
      </x:c>
      <x:c r="L10" s="22" t="str">
        <x:v>Conditional</x:v>
      </x:c>
      <x:c r="M10" s="22" t="str">
        <x:v>P1</x:v>
      </x:c>
      <x:c r="N10" s="22" t="str">
        <x:v>Dùng wording 'công bố/ước tính', không cam kết thời gian cho mọi hồ sơ.</x:v>
      </x:c>
      <x:c r="O10" s="22" t="str">
        <x:v>https://dangky.homecredit.vn/vay-tien</x:v>
      </x:c>
      <x:c r="P10" s="22" t="str">
        <x:v>High</x:v>
      </x:c>
      <x:c r="Q10" s="22" t="str">
        <x:v>Fast-conversion query.</x:v>
      </x:c>
    </x:row>
    <x:row r="11">
      <x:c r="A11" s="22" t="str">
        <x:v>L07</x:v>
      </x:c>
      <x:c r="B11" s="22" t="str">
        <x:v>Cash Loan</x:v>
      </x:c>
      <x:c r="C11" s="22" t="str">
        <x:v>vay Home Credit</x:v>
      </x:c>
      <x:c r="D11" s="22" t="str">
        <x:v>Hồ sơ vay Home Credit bị từ chối vì sao?</x:v>
      </x:c>
      <x:c r="E11" s="22" t="str">
        <x:v>During-action</x:v>
      </x:c>
      <x:c r="F11" s="22" t="str">
        <x:v>Troubleshooting</x:v>
      </x:c>
      <x:c r="G11" s="22" t="str">
        <x:v>High</x:v>
      </x:c>
      <x:c r="H11" s="22" t="str">
        <x:v>Official</x:v>
      </x:c>
      <x:c r="I11" s="22" t="str">
        <x:v>Good</x:v>
      </x:c>
      <x:c r="J11" s="22" t="str">
        <x:v>Support L-Reject</x:v>
      </x:c>
      <x:c r="K11" s="22" t="str">
        <x:v>Support article</x:v>
      </x:c>
      <x:c r="L11" s="22" t="str">
        <x:v>Yes</x:v>
      </x:c>
      <x:c r="M11" s="22" t="str">
        <x:v>P0</x:v>
      </x:c>
      <x:c r="N11" s="22" t="str">
        <x:v>Nêu thẩm định tự động và các yếu tố; không dạy lách hệ thống.</x:v>
      </x:c>
      <x:c r="O11" s="22" t="str">
        <x:v>https://www.homecredit.vn/faq/hop-dong-vay</x:v>
      </x:c>
      <x:c r="P11" s="22" t="str">
        <x:v>Medium</x:v>
      </x:c>
      <x:c r="Q11" s="22" t="str">
        <x:v>Good problem intent.</x:v>
      </x:c>
    </x:row>
    <x:row r="12">
      <x:c r="A12" s="22" t="str">
        <x:v>L08</x:v>
      </x:c>
      <x:c r="B12" s="22" t="str">
        <x:v>Cash Loan</x:v>
      </x:c>
      <x:c r="C12" s="22" t="str">
        <x:v>vay Home Credit</x:v>
      </x:c>
      <x:c r="D12" s="22" t="str">
        <x:v>Bị từ chối thì bao lâu được đăng ký lại?</x:v>
      </x:c>
      <x:c r="E12" s="22" t="str">
        <x:v>Post-decision</x:v>
      </x:c>
      <x:c r="F12" s="22" t="str">
        <x:v>Troubleshooting</x:v>
      </x:c>
      <x:c r="G12" s="22" t="str">
        <x:v>High</x:v>
      </x:c>
      <x:c r="H12" s="22" t="str">
        <x:v>Official but messaging varies</x:v>
      </x:c>
      <x:c r="I12" s="22" t="str">
        <x:v>Medium</x:v>
      </x:c>
      <x:c r="J12" s="22" t="str">
        <x:v>Support L-Reject</x:v>
      </x:c>
      <x:c r="K12" s="22" t="str">
        <x:v>Section</x:v>
      </x:c>
      <x:c r="L12" s="22" t="str">
        <x:v>No</x:v>
      </x:c>
      <x:c r="M12" s="22" t="str">
        <x:v>P1</x:v>
      </x:c>
      <x:c r="N12" s="22" t="str">
        <x:v>Không hứa mốc cứng nếu nguồn Home Credit khác nhau; ưu tiên thông báo/app/support hiện hành.</x:v>
      </x:c>
      <x:c r="O12" s="22" t="str">
        <x:v>https://www.homecredit.vn/faq/quy-trinh-tham-dinh</x:v>
      </x:c>
      <x:c r="P12" s="22" t="str">
        <x:v>High</x:v>
      </x:c>
      <x:c r="Q12" s="22" t="str">
        <x:v>Use cautious wording.</x:v>
      </x:c>
    </x:row>
    <x:row r="13">
      <x:c r="A13" s="22" t="str">
        <x:v>L09</x:v>
      </x:c>
      <x:c r="B13" s="22" t="str">
        <x:v>Cash Loan</x:v>
      </x:c>
      <x:c r="C13" s="22" t="str">
        <x:v>vay Home Credit</x:v>
      </x:c>
      <x:c r="D13" s="22" t="str">
        <x:v>Vay Home Credit có cần chứng minh thu nhập không?</x:v>
      </x:c>
      <x:c r="E13" s="22" t="str">
        <x:v>Pre-action</x:v>
      </x:c>
      <x:c r="F13" s="22" t="str">
        <x:v>Eligibility</x:v>
      </x:c>
      <x:c r="G13" s="22" t="str">
        <x:v>High</x:v>
      </x:c>
      <x:c r="H13" s="22" t="str">
        <x:v>Official</x:v>
      </x:c>
      <x:c r="I13" s="22" t="str">
        <x:v>Good</x:v>
      </x:c>
      <x:c r="J13" s="22" t="str">
        <x:v>Support L-Need</x:v>
      </x:c>
      <x:c r="K13" s="22" t="str">
        <x:v>Section / article</x:v>
      </x:c>
      <x:c r="L13" s="22" t="str">
        <x:v>Conditional</x:v>
      </x:c>
      <x:c r="M13" s="22" t="str">
        <x:v>P1</x:v>
      </x:c>
      <x:c r="N13" s="22" t="str">
        <x:v>Phân biệt đăng ký cơ bản và chứng từ bổ sung cho hạn mức cao/thẩm định.</x:v>
      </x:c>
      <x:c r="O13" s="22" t="str">
        <x:v>https://www.homecredit.vn/blog/cap-nhat-hop-dong-cho-vay-tien-mat</x:v>
      </x:c>
      <x:c r="P13" s="22" t="str">
        <x:v>Medium</x:v>
      </x:c>
      <x:c r="Q13" s="22" t="str">
        <x:v>Strong FAQ.</x:v>
      </x:c>
    </x:row>
    <x:row r="14">
      <x:c r="A14" s="22" t="str">
        <x:v>L10</x:v>
      </x:c>
      <x:c r="B14" s="22" t="str">
        <x:v>Cash Loan</x:v>
      </x:c>
      <x:c r="C14" s="22" t="str">
        <x:v>vay Home Credit</x:v>
      </x:c>
      <x:c r="D14" s="22" t="str">
        <x:v>Vay Home Credit có phí gì? Bảo hiểm có bắt buộc không?</x:v>
      </x:c>
      <x:c r="E14" s="22" t="str">
        <x:v>Pre-action</x:v>
      </x:c>
      <x:c r="F14" s="22" t="str">
        <x:v>Cost</x:v>
      </x:c>
      <x:c r="G14" s="22" t="str">
        <x:v>Very High</x:v>
      </x:c>
      <x:c r="H14" s="22" t="str">
        <x:v>Official</x:v>
      </x:c>
      <x:c r="I14" s="22" t="str">
        <x:v>Medium-Good</x:v>
      </x:c>
      <x:c r="J14" s="22" t="str">
        <x:v>Support L-Cost</x:v>
      </x:c>
      <x:c r="K14" s="22" t="str">
        <x:v>Support article</x:v>
      </x:c>
      <x:c r="L14" s="22" t="str">
        <x:v>Yes</x:v>
      </x:c>
      <x:c r="M14" s="22" t="str">
        <x:v>P0</x:v>
      </x:c>
      <x:c r="N14" s="22" t="str">
        <x:v>Tách lãi, phí chuyển tiền, tất toán trước hạn, bảo hiểm không bắt buộc nếu đúng nguồn hiện hành.</x:v>
      </x:c>
      <x:c r="O14" s="22" t="str">
        <x:v>https://dangky.homecredit.vn/vay-tien</x:v>
      </x:c>
      <x:c r="P14" s="22" t="str">
        <x:v>Very High</x:v>
      </x:c>
      <x:c r="Q14" s="22" t="str">
        <x:v>Cost transparency.</x:v>
      </x:c>
    </x:row>
    <x:row r="15">
      <x:c r="A15" s="22" t="str">
        <x:v>L11</x:v>
      </x:c>
      <x:c r="B15" s="22" t="str">
        <x:v>Cash Loan</x:v>
      </x:c>
      <x:c r="C15" s="22" t="str">
        <x:v>vay Home Credit</x:v>
      </x:c>
      <x:c r="D15" s="22" t="str">
        <x:v>Tất toán khoản vay Home Credit trước hạn có mất phí không?</x:v>
      </x:c>
      <x:c r="E15" s="22" t="str">
        <x:v>Post-action</x:v>
      </x:c>
      <x:c r="F15" s="22" t="str">
        <x:v>Servicing/cost</x:v>
      </x:c>
      <x:c r="G15" s="22" t="str">
        <x:v>Medium-High</x:v>
      </x:c>
      <x:c r="H15" s="22" t="str">
        <x:v>Official contract sources</x:v>
      </x:c>
      <x:c r="I15" s="22" t="str">
        <x:v>Medium</x:v>
      </x:c>
      <x:c r="J15" s="22" t="str">
        <x:v>Support L-Cost</x:v>
      </x:c>
      <x:c r="K15" s="22" t="str">
        <x:v>Support article / section</x:v>
      </x:c>
      <x:c r="L15" s="22" t="str">
        <x:v>Conditional</x:v>
      </x:c>
      <x:c r="M15" s="22" t="str">
        <x:v>P1</x:v>
      </x:c>
      <x:c r="N15" s="22" t="str">
        <x:v>Giải thích phải xem hợp đồng/biểu phí của khoản vay cụ thể.</x:v>
      </x:c>
      <x:c r="O15" s="22" t="str">
        <x:v>https://www.homecredit.vn/tra-cuu-mau-hop-dong</x:v>
      </x:c>
      <x:c r="P15" s="22" t="str">
        <x:v>Very High</x:v>
      </x:c>
      <x:c r="Q15" s="22" t="str">
        <x:v>Contract-specific.</x:v>
      </x:c>
    </x:row>
    <x:row r="16">
      <x:c r="A16" s="22" t="str">
        <x:v>L12</x:v>
      </x:c>
      <x:c r="B16" s="22" t="str">
        <x:v>Cash Loan</x:v>
      </x:c>
      <x:c r="C16" s="22" t="str">
        <x:v>vay Home Credit</x:v>
      </x:c>
      <x:c r="D16" s="22" t="str">
        <x:v>Thanh toán khoản vay Home Credit bằng cách nào?</x:v>
      </x:c>
      <x:c r="E16" s="22" t="str">
        <x:v>Post-action</x:v>
      </x:c>
      <x:c r="F16" s="22" t="str">
        <x:v>Servicing</x:v>
      </x:c>
      <x:c r="G16" s="22" t="str">
        <x:v>Medium</x:v>
      </x:c>
      <x:c r="H16" s="22" t="str">
        <x:v>Official</x:v>
      </x:c>
      <x:c r="I16" s="22" t="str">
        <x:v>Good</x:v>
      </x:c>
      <x:c r="J16" s="22" t="str">
        <x:v>Support L-Payment</x:v>
      </x:c>
      <x:c r="K16" s="22" t="str">
        <x:v>Support article</x:v>
      </x:c>
      <x:c r="L16" s="22" t="str">
        <x:v>Yes</x:v>
      </x:c>
      <x:c r="M16" s="22" t="str">
        <x:v>P1</x:v>
      </x:c>
      <x:c r="N16" s="22" t="str">
        <x:v>Các kênh thanh toán và kiểm tra trạng thái trên app.</x:v>
      </x:c>
      <x:c r="O16" s="22" t="str">
        <x:v>https://www.homecredit.vn/faq/ung-dung-home-credit</x:v>
      </x:c>
      <x:c r="P16" s="22" t="str">
        <x:v>Medium</x:v>
      </x:c>
      <x:c r="Q16" s="22" t="str">
        <x:v>Utility content.</x:v>
      </x:c>
    </x:row>
    <x:row r="17">
      <x:c r="A17" s="22" t="str">
        <x:v>L13</x:v>
      </x:c>
      <x:c r="B17" s="22" t="str">
        <x:v>Cash Loan</x:v>
      </x:c>
      <x:c r="C17" s="22" t="str">
        <x:v>vay Home Credit</x:v>
      </x:c>
      <x:c r="D17" s="22" t="str">
        <x:v>Trễ hạn thanh toán Home Credit phải làm sao?</x:v>
      </x:c>
      <x:c r="E17" s="22" t="str">
        <x:v>Post-action</x:v>
      </x:c>
      <x:c r="F17" s="22" t="str">
        <x:v>Troubleshooting</x:v>
      </x:c>
      <x:c r="G17" s="22" t="str">
        <x:v>Medium</x:v>
      </x:c>
      <x:c r="H17" s="22" t="str">
        <x:v>Official</x:v>
      </x:c>
      <x:c r="I17" s="22" t="str">
        <x:v>Good</x:v>
      </x:c>
      <x:c r="J17" s="22" t="str">
        <x:v>Support L-Payment</x:v>
      </x:c>
      <x:c r="K17" s="22" t="str">
        <x:v>Support article</x:v>
      </x:c>
      <x:c r="L17" s="22" t="str">
        <x:v>Conditional</x:v>
      </x:c>
      <x:c r="M17" s="22" t="str">
        <x:v>P1</x:v>
      </x:c>
      <x:c r="N17" s="22" t="str">
        <x:v>Khuyến khích kiểm số tiền đến hạn và liên hệ Home Credit; không đưa mẹo né nghĩa vụ.</x:v>
      </x:c>
      <x:c r="O17" s="22" t="str">
        <x:v>https://www.homecredit.vn/blog/ly-do-tre-han-thanh-toan-khoan-vay-clx</x:v>
      </x:c>
      <x:c r="P17" s="22" t="str">
        <x:v>High</x:v>
      </x:c>
      <x:c r="Q17" s="22" t="str">
        <x:v>YMYL.</x:v>
      </x:c>
    </x:row>
    <x:row r="18">
      <x:c r="A18" s="22" t="str">
        <x:v>L14</x:v>
      </x:c>
      <x:c r="B18" s="22" t="str">
        <x:v>Cash Loan</x:v>
      </x:c>
      <x:c r="C18" s="22" t="str">
        <x:v>vay Home Credit</x:v>
      </x:c>
      <x:c r="D18" s="22" t="str">
        <x:v>Đang có khoản vay Home Credit có vay thêm được không?</x:v>
      </x:c>
      <x:c r="E18" s="22" t="str">
        <x:v>Post-action</x:v>
      </x:c>
      <x:c r="F18" s="22" t="str">
        <x:v>Eligibility repeat</x:v>
      </x:c>
      <x:c r="G18" s="22" t="str">
        <x:v>Medium</x:v>
      </x:c>
      <x:c r="H18" s="22" t="str">
        <x:v>Official</x:v>
      </x:c>
      <x:c r="I18" s="22" t="str">
        <x:v>Good</x:v>
      </x:c>
      <x:c r="J18" s="22" t="str">
        <x:v>Support L-Repeat</x:v>
      </x:c>
      <x:c r="K18" s="22" t="str">
        <x:v>Support article / FAQ</x:v>
      </x:c>
      <x:c r="L18" s="22" t="str">
        <x:v>Conditional</x:v>
      </x:c>
      <x:c r="M18" s="22" t="str">
        <x:v>P1</x:v>
      </x:c>
      <x:c r="N18" s="22" t="str">
        <x:v>Nêu lựa chọn phụ thuộc lịch sử thanh toán và offer/đánh giá hiện hành.</x:v>
      </x:c>
      <x:c r="O18" s="22" t="str">
        <x:v>https://www.homecredit.vn/faq/hop-dong-vay</x:v>
      </x:c>
      <x:c r="P18" s="22" t="str">
        <x:v>Medium</x:v>
      </x:c>
      <x:c r="Q18" s="22" t="str">
        <x:v>Good long-tail.</x:v>
      </x:c>
    </x:row>
    <x:row r="19">
      <x:c r="A19" s="22" t="str">
        <x:v>L15</x:v>
      </x:c>
      <x:c r="B19" s="22" t="str">
        <x:v>Cash Loan</x:v>
      </x:c>
      <x:c r="C19" s="22" t="str">
        <x:v>vay Home Credit</x:v>
      </x:c>
      <x:c r="D19" s="22" t="str">
        <x:v>Link/app vay Home Credit nào là chính thức?</x:v>
      </x:c>
      <x:c r="E19" s="22" t="str">
        <x:v>Pre-action</x:v>
      </x:c>
      <x:c r="F19" s="22" t="str">
        <x:v>Trust</x:v>
      </x:c>
      <x:c r="G19" s="22" t="str">
        <x:v>High</x:v>
      </x:c>
      <x:c r="H19" s="22" t="str">
        <x:v>Official</x:v>
      </x:c>
      <x:c r="I19" s="22" t="str">
        <x:v>Good</x:v>
      </x:c>
      <x:c r="J19" s="22" t="str">
        <x:v>Pillar L / Trust</x:v>
      </x:c>
      <x:c r="K19" s="22" t="str">
        <x:v>Section / support</x:v>
      </x:c>
      <x:c r="L19" s="22" t="str">
        <x:v>Conditional</x:v>
      </x:c>
      <x:c r="M19" s="22" t="str">
        <x:v>P1</x:v>
      </x:c>
      <x:c r="N19" s="22" t="str">
        <x:v>Phân biệt 1 Phút Đăng Ký là affiliate site và Home Credit là bên thẩm định/cấp vay.</x:v>
      </x:c>
      <x:c r="O19" s="22" t="str">
        <x:v>https://www.homecredit.vn/</x:v>
      </x:c>
      <x:c r="P19" s="22" t="str">
        <x:v>Low</x:v>
      </x:c>
      <x:c r="Q19" s="22" t="str">
        <x:v>Trust conversion.</x:v>
      </x:c>
    </x:row>
    <x:row r="20">
      <x:c r="A20" s="22" t="str">
        <x:v>C01</x:v>
      </x:c>
      <x:c r="B20" s="22" t="str">
        <x:v>Credit Card</x:v>
      </x:c>
      <x:c r="C20" s="22" t="str">
        <x:v>thẻ tín dụng Home Credit</x:v>
      </x:c>
      <x:c r="D20" s="22" t="str">
        <x:v>Mở thẻ tín dụng Home Credit online</x:v>
      </x:c>
      <x:c r="E20" s="22" t="str">
        <x:v>Acquisition</x:v>
      </x:c>
      <x:c r="F20" s="22" t="str">
        <x:v>Transactional</x:v>
      </x:c>
      <x:c r="G20" s="22" t="str">
        <x:v>Very High</x:v>
      </x:c>
      <x:c r="H20" s="22" t="str">
        <x:v>Official</x:v>
      </x:c>
      <x:c r="I20" s="22" t="str">
        <x:v>Good</x:v>
      </x:c>
      <x:c r="J20" s="22" t="str">
        <x:v>Pillar C</x:v>
      </x:c>
      <x:c r="K20" s="22" t="str">
        <x:v>New pillar</x:v>
      </x:c>
      <x:c r="L20" s="22" t="str">
        <x:v>Yes</x:v>
      </x:c>
      <x:c r="M20" s="22" t="str">
        <x:v>P0</x:v>
      </x:c>
      <x:c r="N20" s="22" t="str">
        <x:v>Điều kiện, hạn mức, phí/lãi, đăng ký, lifecycle.</x:v>
      </x:c>
      <x:c r="O20" s="22" t="str">
        <x:v>https://www.homecredit.vn/the-tin-dung-online</x:v>
      </x:c>
      <x:c r="P20" s="22" t="str">
        <x:v>Very High</x:v>
      </x:c>
      <x:c r="Q20" s="22" t="str">
        <x:v>Second money page.</x:v>
      </x:c>
    </x:row>
    <x:row r="21">
      <x:c r="A21" s="22" t="str">
        <x:v>C02</x:v>
      </x:c>
      <x:c r="B21" s="22" t="str">
        <x:v>Credit Card</x:v>
      </x:c>
      <x:c r="C21" s="22" t="str">
        <x:v>mở thẻ Home Credit</x:v>
      </x:c>
      <x:c r="D21" s="22" t="str">
        <x:v>Điều kiện mở thẻ tín dụng Home Credit</x:v>
      </x:c>
      <x:c r="E21" s="22" t="str">
        <x:v>Pre-action</x:v>
      </x:c>
      <x:c r="F21" s="22" t="str">
        <x:v>Eligibility</x:v>
      </x:c>
      <x:c r="G21" s="22" t="str">
        <x:v>High</x:v>
      </x:c>
      <x:c r="H21" s="22" t="str">
        <x:v>Official</x:v>
      </x:c>
      <x:c r="I21" s="22" t="str">
        <x:v>Good</x:v>
      </x:c>
      <x:c r="J21" s="22" t="str">
        <x:v>Support C-Need</x:v>
      </x:c>
      <x:c r="K21" s="22" t="str">
        <x:v>Support article</x:v>
      </x:c>
      <x:c r="L21" s="22" t="str">
        <x:v>Yes</x:v>
      </x:c>
      <x:c r="M21" s="22" t="str">
        <x:v>P1</x:v>
      </x:c>
      <x:c r="N21" s="22" t="str">
        <x:v>Quốc tịch/cư trú, độ tuổi, CCCD, thẩm định; không hứa phê duyệt.</x:v>
      </x:c>
      <x:c r="O21" s="22" t="str">
        <x:v>https://www.homecredit.vn/the-tin-dung-online</x:v>
      </x:c>
      <x:c r="P21" s="22" t="str">
        <x:v>Medium</x:v>
      </x:c>
      <x:c r="Q21" s="22" t="str">
        <x:v>Strong pre-application.</x:v>
      </x:c>
    </x:row>
    <x:row r="22">
      <x:c r="A22" s="22" t="str">
        <x:v>C03</x:v>
      </x:c>
      <x:c r="B22" s="22" t="str">
        <x:v>Credit Card</x:v>
      </x:c>
      <x:c r="C22" s="22" t="str">
        <x:v>thẻ Home Credit</x:v>
      </x:c>
      <x:c r="D22" s="22" t="str">
        <x:v>Mở thẻ Home Credit có cần chứng minh thu nhập không?</x:v>
      </x:c>
      <x:c r="E22" s="22" t="str">
        <x:v>Pre-action</x:v>
      </x:c>
      <x:c r="F22" s="22" t="str">
        <x:v>Eligibility</x:v>
      </x:c>
      <x:c r="G22" s="22" t="str">
        <x:v>High</x:v>
      </x:c>
      <x:c r="H22" s="22" t="str">
        <x:v>Official</x:v>
      </x:c>
      <x:c r="I22" s="22" t="str">
        <x:v>Good</x:v>
      </x:c>
      <x:c r="J22" s="22" t="str">
        <x:v>Support C-Need</x:v>
      </x:c>
      <x:c r="K22" s="22" t="str">
        <x:v>Section / FAQ</x:v>
      </x:c>
      <x:c r="L22" s="22" t="str">
        <x:v>No</x:v>
      </x:c>
      <x:c r="M22" s="22" t="str">
        <x:v>P1</x:v>
      </x:c>
      <x:c r="N22" s="22" t="str">
        <x:v>Dùng thông tin sản phẩm hiện hành, vẫn nhấn mạnh Home Credit thẩm định.</x:v>
      </x:c>
      <x:c r="O22" s="22" t="str">
        <x:v>https://www.homecredit.vn/the-tin-dung-online</x:v>
      </x:c>
      <x:c r="P22" s="22" t="str">
        <x:v>Medium</x:v>
      </x:c>
      <x:c r="Q22" s="22" t="str">
        <x:v>Good FAQ.</x:v>
      </x:c>
    </x:row>
    <x:row r="23">
      <x:c r="A23" s="22" t="str">
        <x:v>C04</x:v>
      </x:c>
      <x:c r="B23" s="22" t="str">
        <x:v>Credit Card</x:v>
      </x:c>
      <x:c r="C23" s="22" t="str">
        <x:v>thẻ Home Credit</x:v>
      </x:c>
      <x:c r="D23" s="22" t="str">
        <x:v>Hạn mức thẻ tín dụng Home Credit bao nhiêu?</x:v>
      </x:c>
      <x:c r="E23" s="22" t="str">
        <x:v>Pre-action</x:v>
      </x:c>
      <x:c r="F23" s="22" t="str">
        <x:v>Limit</x:v>
      </x:c>
      <x:c r="G23" s="22" t="str">
        <x:v>High</x:v>
      </x:c>
      <x:c r="H23" s="22" t="str">
        <x:v>Official</x:v>
      </x:c>
      <x:c r="I23" s="22" t="str">
        <x:v>Good</x:v>
      </x:c>
      <x:c r="J23" s="22" t="str">
        <x:v>Pillar C / C-Need</x:v>
      </x:c>
      <x:c r="K23" s="22" t="str">
        <x:v>Section</x:v>
      </x:c>
      <x:c r="L23" s="22" t="str">
        <x:v>No</x:v>
      </x:c>
      <x:c r="M23" s="22" t="str">
        <x:v>P1</x:v>
      </x:c>
      <x:c r="N23" s="22" t="str">
        <x:v>Nêu range công bố và hạn mức thực tế do thẩm định.</x:v>
      </x:c>
      <x:c r="O23" s="22" t="str">
        <x:v>https://www.homecredit.vn/faq/the-tin-dung</x:v>
      </x:c>
      <x:c r="P23" s="22" t="str">
        <x:v>Medium</x:v>
      </x:c>
      <x:c r="Q23" s="22" t="str">
        <x:v>Dynamic per customer.</x:v>
      </x:c>
    </x:row>
    <x:row r="24">
      <x:c r="A24" s="22" t="str">
        <x:v>C05</x:v>
      </x:c>
      <x:c r="B24" s="22" t="str">
        <x:v>Credit Card</x:v>
      </x:c>
      <x:c r="C24" s="22" t="str">
        <x:v>phí/lãi thẻ Home Credit</x:v>
      </x:c>
      <x:c r="D24" s="22" t="str">
        <x:v>Phí và lãi suất thẻ tín dụng Home Credit</x:v>
      </x:c>
      <x:c r="E24" s="22" t="str">
        <x:v>Pre-action</x:v>
      </x:c>
      <x:c r="F24" s="22" t="str">
        <x:v>Cost</x:v>
      </x:c>
      <x:c r="G24" s="22" t="str">
        <x:v>Very High</x:v>
      </x:c>
      <x:c r="H24" s="22" t="str">
        <x:v>Official</x:v>
      </x:c>
      <x:c r="I24" s="22" t="str">
        <x:v>Good if latest tariff checked</x:v>
      </x:c>
      <x:c r="J24" s="22" t="str">
        <x:v>Support C-Cost</x:v>
      </x:c>
      <x:c r="K24" s="22" t="str">
        <x:v>Support article</x:v>
      </x:c>
      <x:c r="L24" s="22" t="str">
        <x:v>Yes</x:v>
      </x:c>
      <x:c r="M24" s="22" t="str">
        <x:v>P0</x:v>
      </x:c>
      <x:c r="N24" s="22" t="str">
        <x:v>Luôn lấy biểu phí mới nhất từ trang tra cứu hợp đồng trước publish.</x:v>
      </x:c>
      <x:c r="O24" s="22" t="str">
        <x:v>https://www.homecredit.vn/tra-cuu-mau-hop-dong</x:v>
      </x:c>
      <x:c r="P24" s="22" t="str">
        <x:v>Very High</x:v>
      </x:c>
      <x:c r="Q24" s="22" t="str">
        <x:v>Latest tariff effective 04/09/2026 is listed.</x:v>
      </x:c>
    </x:row>
    <x:row r="25">
      <x:c r="A25" s="22" t="str">
        <x:v>C06</x:v>
      </x:c>
      <x:c r="B25" s="22" t="str">
        <x:v>Credit Card</x:v>
      </x:c>
      <x:c r="C25" s="22" t="str">
        <x:v>thẻ Home Credit</x:v>
      </x:c>
      <x:c r="D25" s="22" t="str">
        <x:v>Thời gian miễn lãi và ngày đến hạn Home Credit</x:v>
      </x:c>
      <x:c r="E25" s="22" t="str">
        <x:v>Post-action</x:v>
      </x:c>
      <x:c r="F25" s="22" t="str">
        <x:v>Billing</x:v>
      </x:c>
      <x:c r="G25" s="22" t="str">
        <x:v>High</x:v>
      </x:c>
      <x:c r="H25" s="22" t="str">
        <x:v>Official</x:v>
      </x:c>
      <x:c r="I25" s="22" t="str">
        <x:v>Good</x:v>
      </x:c>
      <x:c r="J25" s="22" t="str">
        <x:v>Support C-Statement</x:v>
      </x:c>
      <x:c r="K25" s="22" t="str">
        <x:v>Support article</x:v>
      </x:c>
      <x:c r="L25" s="22" t="str">
        <x:v>Yes</x:v>
      </x:c>
      <x:c r="M25" s="22" t="str">
        <x:v>P1</x:v>
      </x:c>
      <x:c r="N25" s="22" t="str">
        <x:v>Giải thích sao kê, ngày đến hạn, miễn lãi có điều kiện thanh toán đầy đủ.</x:v>
      </x:c>
      <x:c r="O25" s="22" t="str">
        <x:v>https://www.homecredit.vn/faq/the-tin-dung</x:v>
      </x:c>
      <x:c r="P25" s="22" t="str">
        <x:v>Medium</x:v>
      </x:c>
      <x:c r="Q25" s="22" t="str">
        <x:v>Useful after approval.</x:v>
      </x:c>
    </x:row>
    <x:row r="26">
      <x:c r="A26" s="22" t="str">
        <x:v>C07</x:v>
      </x:c>
      <x:c r="B26" s="22" t="str">
        <x:v>Credit Card</x:v>
      </x:c>
      <x:c r="C26" s="22" t="str">
        <x:v>thẻ Home Credit</x:v>
      </x:c>
      <x:c r="D26" s="22" t="str">
        <x:v>Thanh toán tối thiểu thẻ Home Credit là bao nhiêu?</x:v>
      </x:c>
      <x:c r="E26" s="22" t="str">
        <x:v>Post-action</x:v>
      </x:c>
      <x:c r="F26" s="22" t="str">
        <x:v>Billing/cost</x:v>
      </x:c>
      <x:c r="G26" s="22" t="str">
        <x:v>High</x:v>
      </x:c>
      <x:c r="H26" s="22" t="str">
        <x:v>Official</x:v>
      </x:c>
      <x:c r="I26" s="22" t="str">
        <x:v>Good</x:v>
      </x:c>
      <x:c r="J26" s="22" t="str">
        <x:v>Support C-Statement</x:v>
      </x:c>
      <x:c r="K26" s="22" t="str">
        <x:v>Support article / section</x:v>
      </x:c>
      <x:c r="L26" s="22" t="str">
        <x:v>Conditional</x:v>
      </x:c>
      <x:c r="M26" s="22" t="str">
        <x:v>P0</x:v>
      </x:c>
      <x:c r="N26" s="22" t="str">
        <x:v>Nêu công thức theo FAQ hiện hành và nhắc kiểm sao kê thực tế.</x:v>
      </x:c>
      <x:c r="O26" s="22" t="str">
        <x:v>https://www.homecredit.vn/faq/the-tin-dung</x:v>
      </x:c>
      <x:c r="P26" s="22" t="str">
        <x:v>High</x:v>
      </x:c>
      <x:c r="Q26" s="22" t="str">
        <x:v>Can change.</x:v>
      </x:c>
    </x:row>
    <x:row r="27">
      <x:c r="A27" s="22" t="str">
        <x:v>C08</x:v>
      </x:c>
      <x:c r="B27" s="22" t="str">
        <x:v>Credit Card</x:v>
      </x:c>
      <x:c r="C27" s="22" t="str">
        <x:v>thẻ Home Credit</x:v>
      </x:c>
      <x:c r="D27" s="22" t="str">
        <x:v>Cách xem sao kê và dư nợ thẻ Home Credit</x:v>
      </x:c>
      <x:c r="E27" s="22" t="str">
        <x:v>Post-action</x:v>
      </x:c>
      <x:c r="F27" s="22" t="str">
        <x:v>Servicing</x:v>
      </x:c>
      <x:c r="G27" s="22" t="str">
        <x:v>Medium</x:v>
      </x:c>
      <x:c r="H27" s="22" t="str">
        <x:v>Official</x:v>
      </x:c>
      <x:c r="I27" s="22" t="str">
        <x:v>Good</x:v>
      </x:c>
      <x:c r="J27" s="22" t="str">
        <x:v>Support C-Statement</x:v>
      </x:c>
      <x:c r="K27" s="22" t="str">
        <x:v>Support article</x:v>
      </x:c>
      <x:c r="L27" s="22" t="str">
        <x:v>Conditional</x:v>
      </x:c>
      <x:c r="M27" s="22" t="str">
        <x:v>P1</x:v>
      </x:c>
      <x:c r="N27" s="22" t="str">
        <x:v>App/hotline, các trường trên sao kê, ngày đến hạn.</x:v>
      </x:c>
      <x:c r="O27" s="22" t="str">
        <x:v>https://www.homecredit.vn/blog/huong-dan-kiem-tra-sao-ke-the-tin-dung</x:v>
      </x:c>
      <x:c r="P27" s="22" t="str">
        <x:v>Medium</x:v>
      </x:c>
      <x:c r="Q27" s="22" t="str">
        <x:v>Utility content.</x:v>
      </x:c>
    </x:row>
    <x:row r="28">
      <x:c r="A28" s="22" t="str">
        <x:v>C09</x:v>
      </x:c>
      <x:c r="B28" s="22" t="str">
        <x:v>Credit Card</x:v>
      </x:c>
      <x:c r="C28" s="22" t="str">
        <x:v>thẻ Home Credit</x:v>
      </x:c>
      <x:c r="D28" s="22" t="str">
        <x:v>Kích hoạt thẻ tín dụng Home Credit như thế nào?</x:v>
      </x:c>
      <x:c r="E28" s="22" t="str">
        <x:v>Post-approval</x:v>
      </x:c>
      <x:c r="F28" s="22" t="str">
        <x:v>Activation</x:v>
      </x:c>
      <x:c r="G28" s="22" t="str">
        <x:v>Medium-High</x:v>
      </x:c>
      <x:c r="H28" s="22" t="str">
        <x:v>Official</x:v>
      </x:c>
      <x:c r="I28" s="22" t="str">
        <x:v>Good</x:v>
      </x:c>
      <x:c r="J28" s="22" t="str">
        <x:v>Support C-Activate</x:v>
      </x:c>
      <x:c r="K28" s="22" t="str">
        <x:v>Support article</x:v>
      </x:c>
      <x:c r="L28" s="22" t="str">
        <x:v>Conditional</x:v>
      </x:c>
      <x:c r="M28" s="22" t="str">
        <x:v>P1</x:v>
      </x:c>
      <x:c r="N28" s="22" t="str">
        <x:v>Qua app/hotline theo hướng dẫn hiện hành.</x:v>
      </x:c>
      <x:c r="O28" s="22" t="str">
        <x:v>https://www.homecredit.vn/faq/the-tin-dung</x:v>
      </x:c>
      <x:c r="P28" s="22" t="str">
        <x:v>Medium</x:v>
      </x:c>
      <x:c r="Q28" s="22" t="str">
        <x:v>Post-approval support.</x:v>
      </x:c>
    </x:row>
    <x:row r="29">
      <x:c r="A29" s="22" t="str">
        <x:v>C10</x:v>
      </x:c>
      <x:c r="B29" s="22" t="str">
        <x:v>Credit Card</x:v>
      </x:c>
      <x:c r="C29" s="22" t="str">
        <x:v>rút tiền thẻ Home Credit</x:v>
      </x:c>
      <x:c r="D29" s="22" t="str">
        <x:v>Rút tiền mặt từ thẻ tín dụng Home Credit: phí và lưu ý</x:v>
      </x:c>
      <x:c r="E29" s="22" t="str">
        <x:v>Post-action</x:v>
      </x:c>
      <x:c r="F29" s="22" t="str">
        <x:v>Cash advance</x:v>
      </x:c>
      <x:c r="G29" s="22" t="str">
        <x:v>High</x:v>
      </x:c>
      <x:c r="H29" s="22" t="str">
        <x:v>Official</x:v>
      </x:c>
      <x:c r="I29" s="22" t="str">
        <x:v>Good if latest tariff checked</x:v>
      </x:c>
      <x:c r="J29" s="22" t="str">
        <x:v>Support C-Cash</x:v>
      </x:c>
      <x:c r="K29" s="22" t="str">
        <x:v>Support article</x:v>
      </x:c>
      <x:c r="L29" s="22" t="str">
        <x:v>Yes</x:v>
      </x:c>
      <x:c r="M29" s="22" t="str">
        <x:v>P0</x:v>
      </x:c>
      <x:c r="N29" s="22" t="str">
        <x:v>Tách phí rút tiền và lãi phát sinh; kiểm theo loại thẻ/biểu phí mới nhất.</x:v>
      </x:c>
      <x:c r="O29" s="22" t="str">
        <x:v>https://www.homecredit.vn/faq/the-tin-dung</x:v>
      </x:c>
      <x:c r="P29" s="22" t="str">
        <x:v>Very High</x:v>
      </x:c>
      <x:c r="Q29" s="22" t="str">
        <x:v>High cost topic.</x:v>
      </x:c>
    </x:row>
    <x:row r="30">
      <x:c r="A30" s="22" t="str">
        <x:v>C11</x:v>
      </x:c>
      <x:c r="B30" s="22" t="str">
        <x:v>Credit Card</x:v>
      </x:c>
      <x:c r="C30" s="22" t="str">
        <x:v>thẻ Home Credit</x:v>
      </x:c>
      <x:c r="D30" s="22" t="str">
        <x:v>Có thể tăng hạn mức thẻ Home Credit không?</x:v>
      </x:c>
      <x:c r="E30" s="22" t="str">
        <x:v>Post-action</x:v>
      </x:c>
      <x:c r="F30" s="22" t="str">
        <x:v>Limit management</x:v>
      </x:c>
      <x:c r="G30" s="22" t="str">
        <x:v>Medium</x:v>
      </x:c>
      <x:c r="H30" s="22" t="str">
        <x:v>Official</x:v>
      </x:c>
      <x:c r="I30" s="22" t="str">
        <x:v>Good</x:v>
      </x:c>
      <x:c r="J30" s="22" t="str">
        <x:v>Support C-Limit</x:v>
      </x:c>
      <x:c r="K30" s="22" t="str">
        <x:v>Section / FAQ</x:v>
      </x:c>
      <x:c r="L30" s="22" t="str">
        <x:v>No</x:v>
      </x:c>
      <x:c r="M30" s="22" t="str">
        <x:v>P1</x:v>
      </x:c>
      <x:c r="N30" s="22" t="str">
        <x:v>Home Credit FAQ nói hệ thống tự đánh giá; không hứa tăng hạn mức theo yêu cầu.</x:v>
      </x:c>
      <x:c r="O30" s="22" t="str">
        <x:v>https://www.homecredit.vn/faq/the-tin-dung</x:v>
      </x:c>
      <x:c r="P30" s="22" t="str">
        <x:v>Medium</x:v>
      </x:c>
      <x:c r="Q30" s="22" t="str">
        <x:v>Good FAQ.</x:v>
      </x:c>
    </x:row>
    <x:row r="31">
      <x:c r="A31" s="22" t="str">
        <x:v>C12</x:v>
      </x:c>
      <x:c r="B31" s="22" t="str">
        <x:v>Credit Card</x:v>
      </x:c>
      <x:c r="C31" s="22" t="str">
        <x:v>trả góp thẻ Home Credit</x:v>
      </x:c>
      <x:c r="D31" s="22" t="str">
        <x:v>Chuyển đổi trả góp thẻ tín dụng Home Credit</x:v>
      </x:c>
      <x:c r="E31" s="22" t="str">
        <x:v>Post-action</x:v>
      </x:c>
      <x:c r="F31" s="22" t="str">
        <x:v>Installment</x:v>
      </x:c>
      <x:c r="G31" s="22" t="str">
        <x:v>High</x:v>
      </x:c>
      <x:c r="H31" s="22" t="str">
        <x:v>Official</x:v>
      </x:c>
      <x:c r="I31" s="22" t="str">
        <x:v>Good if latest 2026 terms checked</x:v>
      </x:c>
      <x:c r="J31" s="22" t="str">
        <x:v>Support C-Installment</x:v>
      </x:c>
      <x:c r="K31" s="22" t="str">
        <x:v>Support article</x:v>
      </x:c>
      <x:c r="L31" s="22" t="str">
        <x:v>Yes</x:v>
      </x:c>
      <x:c r="M31" s="22" t="str">
        <x:v>P0</x:v>
      </x:c>
      <x:c r="N31" s="22" t="str">
        <x:v>Nguồn phải là điều khoản/biểu phí mới nhất, vì Home Credit đã điều chỉnh nhiều lần năm 2026.</x:v>
      </x:c>
      <x:c r="O31" s="22" t="str">
        <x:v>https://www.homecredit.vn/tra-cuu-mau-hop-dong</x:v>
      </x:c>
      <x:c r="P31" s="22" t="str">
        <x:v>Very High</x:v>
      </x:c>
      <x:c r="Q31" s="22" t="str">
        <x:v>Latest terms matter.</x:v>
      </x:c>
    </x:row>
    <x:row r="32">
      <x:c r="A32" s="22" t="str">
        <x:v>C13</x:v>
      </x:c>
      <x:c r="B32" s="22" t="str">
        <x:v>Credit Card</x:v>
      </x:c>
      <x:c r="C32" s="22" t="str">
        <x:v>thẻ Home Credit</x:v>
      </x:c>
      <x:c r="D32" s="22" t="str">
        <x:v>Thanh toán trễ thẻ Home Credit có sao không?</x:v>
      </x:c>
      <x:c r="E32" s="22" t="str">
        <x:v>Post-action</x:v>
      </x:c>
      <x:c r="F32" s="22" t="str">
        <x:v>Late payment</x:v>
      </x:c>
      <x:c r="G32" s="22" t="str">
        <x:v>High</x:v>
      </x:c>
      <x:c r="H32" s="22" t="str">
        <x:v>Official</x:v>
      </x:c>
      <x:c r="I32" s="22" t="str">
        <x:v>Good</x:v>
      </x:c>
      <x:c r="J32" s="22" t="str">
        <x:v>Support C-Statement</x:v>
      </x:c>
      <x:c r="K32" s="22" t="str">
        <x:v>Section / support</x:v>
      </x:c>
      <x:c r="L32" s="22" t="str">
        <x:v>Conditional</x:v>
      </x:c>
      <x:c r="M32" s="22" t="str">
        <x:v>P1</x:v>
      </x:c>
      <x:c r="N32" s="22" t="str">
        <x:v>Phí/lãi và lịch sử tín dụng; hướng người dùng kiểm sao kê và liên hệ Home Credit.</x:v>
      </x:c>
      <x:c r="O32" s="22" t="str">
        <x:v>https://www.homecredit.vn/faq/the-tin-dung</x:v>
      </x:c>
      <x:c r="P32" s="22" t="str">
        <x:v>High</x:v>
      </x:c>
      <x:c r="Q32" s="22" t="str">
        <x:v>YMYL.</x:v>
      </x:c>
    </x:row>
    <x:row r="33">
      <x:c r="A33" s="22" t="str">
        <x:v>C14</x:v>
      </x:c>
      <x:c r="B33" s="22" t="str">
        <x:v>Credit Card</x:v>
      </x:c>
      <x:c r="C33" s="22" t="str">
        <x:v>thẻ Home Credit</x:v>
      </x:c>
      <x:c r="D33" s="22" t="str">
        <x:v>Thẻ tín dụng trực tuyến và thẻ Home Credit khác nhau thế nào?</x:v>
      </x:c>
      <x:c r="E33" s="22" t="str">
        <x:v>Decision</x:v>
      </x:c>
      <x:c r="F33" s="22" t="str">
        <x:v>Product clarification</x:v>
      </x:c>
      <x:c r="G33" s="22" t="str">
        <x:v>Medium</x:v>
      </x:c>
      <x:c r="H33" s="22" t="str">
        <x:v>Official tariff/product pages</x:v>
      </x:c>
      <x:c r="I33" s="22" t="str">
        <x:v>Medium</x:v>
      </x:c>
      <x:c r="J33" s="22" t="str">
        <x:v>Pillar C</x:v>
      </x:c>
      <x:c r="K33" s="22" t="str">
        <x:v>Section / article</x:v>
      </x:c>
      <x:c r="L33" s="22" t="str">
        <x:v>Conditional</x:v>
      </x:c>
      <x:c r="M33" s="22" t="str">
        <x:v>P1</x:v>
      </x:c>
      <x:c r="N33" s="22" t="str">
        <x:v>Chỉ so sánh những điểm Home Credit công bố hiện hành.</x:v>
      </x:c>
      <x:c r="O33" s="22" t="str">
        <x:v>https://www.homecredit.vn/tra-cuu-mau-hop-dong</x:v>
      </x:c>
      <x:c r="P33" s="22" t="str">
        <x:v>High</x:v>
      </x:c>
      <x:c r="Q33" s="22" t="str">
        <x:v>Product variants.</x:v>
      </x:c>
    </x:row>
    <x:row r="34">
      <x:c r="A34" s="22" t="str">
        <x:v>B01</x:v>
      </x:c>
      <x:c r="B34" s="22" t="str">
        <x:v>Bridge</x:v>
      </x:c>
      <x:c r="C34" s="22" t="str">
        <x:v>loan vs card</x:v>
      </x:c>
      <x:c r="D34" s="22" t="str">
        <x:v>Vay tiền mặt hay thẻ tín dụng Home Credit khác nhau thế nào?</x:v>
      </x:c>
      <x:c r="E34" s="22" t="str">
        <x:v>Decision</x:v>
      </x:c>
      <x:c r="F34" s="22" t="str">
        <x:v>Clarification</x:v>
      </x:c>
      <x:c r="G34" s="22" t="str">
        <x:v>Medium-High</x:v>
      </x:c>
      <x:c r="H34" s="22" t="str">
        <x:v>Official</x:v>
      </x:c>
      <x:c r="I34" s="22" t="str">
        <x:v>Good</x:v>
      </x:c>
      <x:c r="J34" s="22" t="str">
        <x:v>Bridge L↔C</x:v>
      </x:c>
      <x:c r="K34" s="22" t="str">
        <x:v>Bridge article</x:v>
      </x:c>
      <x:c r="L34" s="22" t="str">
        <x:v>Yes</x:v>
      </x:c>
      <x:c r="M34" s="22" t="str">
        <x:v>P1</x:v>
      </x:c>
      <x:c r="N34" s="22" t="str">
        <x:v>So sánh mục đích sử dụng, cơ chế chi phí, nghĩa vụ thanh toán; không khuyến nghị cá nhân hóa.</x:v>
      </x:c>
      <x:c r="O34" s="22" t="str">
        <x:v>https://www.homecredit.vn/</x:v>
      </x:c>
      <x:c r="P34" s="22" t="str">
        <x:v>High</x:v>
      </x:c>
      <x:c r="Q34" s="22" t="str">
        <x:v>Strong entity-routing page.</x:v>
      </x:c>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395b48118f6849e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HOME CREDIT – CONTENT PORTFOLIO</x:v>
      </x:c>
      <x:c r="B1" s="28"/>
      <x:c r="C1" s="28"/>
      <x:c r="D1" s="28"/>
      <x:c r="E1" s="28"/>
      <x:c r="F1" s="28"/>
      <x:c r="G1" s="28"/>
      <x:c r="H1" s="28"/>
      <x:c r="I1" s="28"/>
      <x:c r="J1" s="28"/>
      <x:c r="K1" s="28"/>
      <x:c r="L1" s="28"/>
      <x:c r="M1" s="28"/>
    </x:row>
    <x:row r="3">
      <x:c r="A3" s="20" t="str">
        <x:v>Order</x:v>
      </x:c>
      <x:c r="B3" s="20" t="str">
        <x:v>Asset ID</x:v>
      </x:c>
      <x:c r="C3" s="20" t="str">
        <x:v>Content asset</x:v>
      </x:c>
      <x:c r="D3" s="20" t="str">
        <x:v>Product</x:v>
      </x:c>
      <x:c r="E3" s="20" t="str">
        <x:v>Type</x:v>
      </x:c>
      <x:c r="F3" s="20" t="str">
        <x:v>Canonical owner</x:v>
      </x:c>
      <x:c r="G3" s="20" t="str">
        <x:v>Business role</x:v>
      </x:c>
      <x:c r="H3" s="20" t="str">
        <x:v>Primary intent</x:v>
      </x:c>
      <x:c r="I3" s="20" t="str">
        <x:v>Affiliate CTA</x:v>
      </x:c>
      <x:c r="J3" s="20" t="str">
        <x:v>Priority</x:v>
      </x:c>
      <x:c r="K3" s="20" t="str">
        <x:v>Target day</x:v>
      </x:c>
      <x:c r="L3" s="20" t="str">
        <x:v>Publish mode</x:v>
      </x:c>
      <x:c r="M3" s="20" t="str">
        <x:v>Guardrail</x:v>
      </x:c>
    </x:row>
    <x:row r="4">
      <x:c r="A4" s="22" t="n">
        <x:v>1</x:v>
      </x:c>
      <x:c r="B4" s="22" t="str">
        <x:v>L-PILLAR</x:v>
      </x:c>
      <x:c r="C4" s="22" t="str">
        <x:v>Vay tiền mặt Home Credit online</x:v>
      </x:c>
      <x:c r="D4" s="22" t="str">
        <x:v>Cash Loan</x:v>
      </x:c>
      <x:c r="E4" s="22" t="str">
        <x:v>Existing pillar</x:v>
      </x:c>
      <x:c r="F4" s="22" t="str">
        <x:v>Pillar L</x:v>
      </x:c>
      <x:c r="G4" s="22" t="str">
        <x:v>Acquisition</x:v>
      </x:c>
      <x:c r="H4" s="22" t="str">
        <x:v>Transactional</x:v>
      </x:c>
      <x:c r="I4" s="22" t="str">
        <x:v>High</x:v>
      </x:c>
      <x:c r="J4" s="22" t="str">
        <x:v>P0</x:v>
      </x:c>
      <x:c r="K4" s="22" t="n">
        <x:v>1</x:v>
      </x:c>
      <x:c r="L4" s="22" t="str">
        <x:v>Update existing</x:v>
      </x:c>
      <x:c r="M4" s="22" t="str">
        <x:v>Không đổi URL; không hứa duyệt/hạn mức.</x:v>
      </x:c>
    </x:row>
    <x:row r="5">
      <x:c r="A5" s="22" t="n">
        <x:v>2</x:v>
      </x:c>
      <x:c r="B5" s="22" t="str">
        <x:v>C-PILLAR</x:v>
      </x:c>
      <x:c r="C5" s="22" t="str">
        <x:v>Mở thẻ tín dụng Home Credit online</x:v>
      </x:c>
      <x:c r="D5" s="22" t="str">
        <x:v>Credit Card</x:v>
      </x:c>
      <x:c r="E5" s="22" t="str">
        <x:v>New pillar</x:v>
      </x:c>
      <x:c r="F5" s="22" t="str">
        <x:v>Pillar C</x:v>
      </x:c>
      <x:c r="G5" s="22" t="str">
        <x:v>Acquisition</x:v>
      </x:c>
      <x:c r="H5" s="22" t="str">
        <x:v>Transactional</x:v>
      </x:c>
      <x:c r="I5" s="22" t="str">
        <x:v>High</x:v>
      </x:c>
      <x:c r="J5" s="22" t="str">
        <x:v>P0</x:v>
      </x:c>
      <x:c r="K5" s="22" t="n">
        <x:v>2</x:v>
      </x:c>
      <x:c r="L5" s="22" t="str">
        <x:v>New article</x:v>
      </x:c>
      <x:c r="M5" s="22" t="str">
        <x:v>Kiểm biểu phí hiện hành.</x:v>
      </x:c>
    </x:row>
    <x:row r="6">
      <x:c r="A6" s="22" t="n">
        <x:v>3</x:v>
      </x:c>
      <x:c r="B6" s="22" t="str">
        <x:v>L-RATE</x:v>
      </x:c>
      <x:c r="C6" s="22" t="str">
        <x:v>Lãi suất vay tiền mặt Home Credit tính thế nào?</x:v>
      </x:c>
      <x:c r="D6" s="22" t="str">
        <x:v>Cash Loan</x:v>
      </x:c>
      <x:c r="E6" s="22" t="str">
        <x:v>Support</x:v>
      </x:c>
      <x:c r="F6" s="22" t="str">
        <x:v>Support L-Rate</x:v>
      </x:c>
      <x:c r="G6" s="22" t="str">
        <x:v>Decision support</x:v>
      </x:c>
      <x:c r="H6" s="22" t="str">
        <x:v>Cost</x:v>
      </x:c>
      <x:c r="I6" s="22" t="str">
        <x:v>Medium</x:v>
      </x:c>
      <x:c r="J6" s="22" t="str">
        <x:v>P0</x:v>
      </x:c>
      <x:c r="K6" s="22" t="n">
        <x:v>3</x:v>
      </x:c>
      <x:c r="L6" s="22" t="str">
        <x:v>New article</x:v>
      </x:c>
      <x:c r="M6" s="22" t="str">
        <x:v>Phân biệt flat vs declining balance.</x:v>
      </x:c>
    </x:row>
    <x:row r="7">
      <x:c r="A7" s="22" t="n">
        <x:v>4</x:v>
      </x:c>
      <x:c r="B7" s="22" t="str">
        <x:v>L-REJECT</x:v>
      </x:c>
      <x:c r="C7" s="22" t="str">
        <x:v>Hồ sơ vay Home Credit bị từ chối vì sao?</x:v>
      </x:c>
      <x:c r="D7" s="22" t="str">
        <x:v>Cash Loan</x:v>
      </x:c>
      <x:c r="E7" s="22" t="str">
        <x:v>Support</x:v>
      </x:c>
      <x:c r="F7" s="22" t="str">
        <x:v>Support L-Reject</x:v>
      </x:c>
      <x:c r="G7" s="22" t="str">
        <x:v>Task completion</x:v>
      </x:c>
      <x:c r="H7" s="22" t="str">
        <x:v>Troubleshooting</x:v>
      </x:c>
      <x:c r="I7" s="22" t="str">
        <x:v>Low-Medium</x:v>
      </x:c>
      <x:c r="J7" s="22" t="str">
        <x:v>P0</x:v>
      </x:c>
      <x:c r="K7" s="22" t="n">
        <x:v>4</x:v>
      </x:c>
      <x:c r="L7" s="22" t="str">
        <x:v>New article</x:v>
      </x:c>
      <x:c r="M7" s="22" t="str">
        <x:v>Không dạy lách thẩm định.</x:v>
      </x:c>
    </x:row>
    <x:row r="8">
      <x:c r="A8" s="22" t="n">
        <x:v>5</x:v>
      </x:c>
      <x:c r="B8" s="22" t="str">
        <x:v>L-COST</x:v>
      </x:c>
      <x:c r="C8" s="22" t="str">
        <x:v>Vay Home Credit có phí gì? Bảo hiểm và tất toán trước hạn</x:v>
      </x:c>
      <x:c r="D8" s="22" t="str">
        <x:v>Cash Loan</x:v>
      </x:c>
      <x:c r="E8" s="22" t="str">
        <x:v>Support</x:v>
      </x:c>
      <x:c r="F8" s="22" t="str">
        <x:v>Support L-Cost</x:v>
      </x:c>
      <x:c r="G8" s="22" t="str">
        <x:v>Decision support</x:v>
      </x:c>
      <x:c r="H8" s="22" t="str">
        <x:v>Cost</x:v>
      </x:c>
      <x:c r="I8" s="22" t="str">
        <x:v>Medium</x:v>
      </x:c>
      <x:c r="J8" s="22" t="str">
        <x:v>P0</x:v>
      </x:c>
      <x:c r="K8" s="22" t="n">
        <x:v>5</x:v>
      </x:c>
      <x:c r="L8" s="22" t="str">
        <x:v>New article</x:v>
      </x:c>
      <x:c r="M8" s="22" t="str">
        <x:v>Nguồn hợp đồng/biểu phí hiện hành.</x:v>
      </x:c>
    </x:row>
    <x:row r="9">
      <x:c r="A9" s="22" t="n">
        <x:v>6</x:v>
      </x:c>
      <x:c r="B9" s="22" t="str">
        <x:v>C-COST</x:v>
      </x:c>
      <x:c r="C9" s="22" t="str">
        <x:v>Phí và lãi suất thẻ tín dụng Home Credit</x:v>
      </x:c>
      <x:c r="D9" s="22" t="str">
        <x:v>Credit Card</x:v>
      </x:c>
      <x:c r="E9" s="22" t="str">
        <x:v>Support</x:v>
      </x:c>
      <x:c r="F9" s="22" t="str">
        <x:v>Support C-Cost</x:v>
      </x:c>
      <x:c r="G9" s="22" t="str">
        <x:v>Decision support</x:v>
      </x:c>
      <x:c r="H9" s="22" t="str">
        <x:v>Cost</x:v>
      </x:c>
      <x:c r="I9" s="22" t="str">
        <x:v>Medium</x:v>
      </x:c>
      <x:c r="J9" s="22" t="str">
        <x:v>P0</x:v>
      </x:c>
      <x:c r="K9" s="22" t="n">
        <x:v>6</x:v>
      </x:c>
      <x:c r="L9" s="22" t="str">
        <x:v>New article</x:v>
      </x:c>
      <x:c r="M9" s="22" t="str">
        <x:v>Tra biểu phí mới nhất trước publish.</x:v>
      </x:c>
    </x:row>
    <x:row r="10">
      <x:c r="A10" s="22" t="n">
        <x:v>7</x:v>
      </x:c>
      <x:c r="B10" s="22" t="str">
        <x:v>C-CASH</x:v>
      </x:c>
      <x:c r="C10" s="22" t="str">
        <x:v>Rút tiền mặt từ thẻ tín dụng Home Credit</x:v>
      </x:c>
      <x:c r="D10" s="22" t="str">
        <x:v>Credit Card</x:v>
      </x:c>
      <x:c r="E10" s="22" t="str">
        <x:v>Support</x:v>
      </x:c>
      <x:c r="F10" s="22" t="str">
        <x:v>Support C-Cash</x:v>
      </x:c>
      <x:c r="G10" s="22" t="str">
        <x:v>Decision/support</x:v>
      </x:c>
      <x:c r="H10" s="22" t="str">
        <x:v>Cash advance</x:v>
      </x:c>
      <x:c r="I10" s="22" t="str">
        <x:v>Low</x:v>
      </x:c>
      <x:c r="J10" s="22" t="str">
        <x:v>P0</x:v>
      </x:c>
      <x:c r="K10" s="22" t="n">
        <x:v>7</x:v>
      </x:c>
      <x:c r="L10" s="22" t="str">
        <x:v>New article</x:v>
      </x:c>
      <x:c r="M10" s="22" t="str">
        <x:v>Nêu phí + lãi, không cổ vũ rút tiền.</x:v>
      </x:c>
    </x:row>
    <x:row r="11">
      <x:c r="A11" s="22" t="n">
        <x:v>8</x:v>
      </x:c>
      <x:c r="B11" s="22" t="str">
        <x:v>C-INSTALL</x:v>
      </x:c>
      <x:c r="C11" s="22" t="str">
        <x:v>Trả góp thẻ tín dụng Home Credit</x:v>
      </x:c>
      <x:c r="D11" s="22" t="str">
        <x:v>Credit Card</x:v>
      </x:c>
      <x:c r="E11" s="22" t="str">
        <x:v>Support</x:v>
      </x:c>
      <x:c r="F11" s="22" t="str">
        <x:v>Support C-Installment</x:v>
      </x:c>
      <x:c r="G11" s="22" t="str">
        <x:v>Post-action</x:v>
      </x:c>
      <x:c r="H11" s="22" t="str">
        <x:v>Installment</x:v>
      </x:c>
      <x:c r="I11" s="22" t="str">
        <x:v>Low</x:v>
      </x:c>
      <x:c r="J11" s="22" t="str">
        <x:v>P0</x:v>
      </x:c>
      <x:c r="K11" s="22" t="n">
        <x:v>8</x:v>
      </x:c>
      <x:c r="L11" s="22" t="str">
        <x:v>New article</x:v>
      </x:c>
      <x:c r="M11" s="22" t="str">
        <x:v>Nguồn điều khoản mới nhất.</x:v>
      </x:c>
    </x:row>
    <x:row r="12">
      <x:c r="A12" s="22" t="n">
        <x:v>9</x:v>
      </x:c>
      <x:c r="B12" s="22" t="str">
        <x:v>L-NEED</x:v>
      </x:c>
      <x:c r="C12" s="22" t="str">
        <x:v>Vay Home Credit cần gì? Điều kiện và giấy tờ</x:v>
      </x:c>
      <x:c r="D12" s="22" t="str">
        <x:v>Cash Loan</x:v>
      </x:c>
      <x:c r="E12" s="22" t="str">
        <x:v>Support</x:v>
      </x:c>
      <x:c r="F12" s="22" t="str">
        <x:v>Support L-Need</x:v>
      </x:c>
      <x:c r="G12" s="22" t="str">
        <x:v>Qualification</x:v>
      </x:c>
      <x:c r="H12" s="22" t="str">
        <x:v>Eligibility</x:v>
      </x:c>
      <x:c r="I12" s="22" t="str">
        <x:v>Medium</x:v>
      </x:c>
      <x:c r="J12" s="22" t="str">
        <x:v>P1</x:v>
      </x:c>
      <x:c r="K12" s="22" t="n">
        <x:v>9</x:v>
      </x:c>
      <x:c r="L12" s="22" t="str">
        <x:v>New article</x:v>
      </x:c>
      <x:c r="M12" s="22" t="str">
        <x:v>Điều kiện không đồng nghĩa phê duyệt.</x:v>
      </x:c>
    </x:row>
    <x:row r="13">
      <x:c r="A13" s="22" t="n">
        <x:v>10</x:v>
      </x:c>
      <x:c r="B13" s="22" t="str">
        <x:v>L-TIME</x:v>
      </x:c>
      <x:c r="C13" s="22" t="str">
        <x:v>Home Credit duyệt hồ sơ và giải ngân bao lâu?</x:v>
      </x:c>
      <x:c r="D13" s="22" t="str">
        <x:v>Cash Loan</x:v>
      </x:c>
      <x:c r="E13" s="22" t="str">
        <x:v>Support</x:v>
      </x:c>
      <x:c r="F13" s="22" t="str">
        <x:v>Support L-Time</x:v>
      </x:c>
      <x:c r="G13" s="22" t="str">
        <x:v>Task completion</x:v>
      </x:c>
      <x:c r="H13" s="22" t="str">
        <x:v>Timing</x:v>
      </x:c>
      <x:c r="I13" s="22" t="str">
        <x:v>Medium</x:v>
      </x:c>
      <x:c r="J13" s="22" t="str">
        <x:v>P1</x:v>
      </x:c>
      <x:c r="K13" s="22" t="n">
        <x:v>10</x:v>
      </x:c>
      <x:c r="L13" s="22" t="str">
        <x:v>Conditional article</x:v>
      </x:c>
      <x:c r="M13" s="22" t="str">
        <x:v>Không cam kết thời gian cho mọi hồ sơ.</x:v>
      </x:c>
    </x:row>
    <x:row r="14">
      <x:c r="A14" s="22" t="n">
        <x:v>11</x:v>
      </x:c>
      <x:c r="B14" s="22" t="str">
        <x:v>L-PAY</x:v>
      </x:c>
      <x:c r="C14" s="22" t="str">
        <x:v>Thanh toán khoản vay Home Credit và xử lý trễ hạn</x:v>
      </x:c>
      <x:c r="D14" s="22" t="str">
        <x:v>Cash Loan</x:v>
      </x:c>
      <x:c r="E14" s="22" t="str">
        <x:v>Support</x:v>
      </x:c>
      <x:c r="F14" s="22" t="str">
        <x:v>Support L-Payment</x:v>
      </x:c>
      <x:c r="G14" s="22" t="str">
        <x:v>Servicing</x:v>
      </x:c>
      <x:c r="H14" s="22" t="str">
        <x:v>Payment</x:v>
      </x:c>
      <x:c r="I14" s="22" t="str">
        <x:v>Low</x:v>
      </x:c>
      <x:c r="J14" s="22" t="str">
        <x:v>P1</x:v>
      </x:c>
      <x:c r="K14" s="22" t="n">
        <x:v>11</x:v>
      </x:c>
      <x:c r="L14" s="22" t="str">
        <x:v>New article</x:v>
      </x:c>
      <x:c r="M14" s="22" t="str">
        <x:v>Không hướng dẫn né nghĩa vụ trả nợ.</x:v>
      </x:c>
    </x:row>
    <x:row r="15">
      <x:c r="A15" s="22" t="n">
        <x:v>12</x:v>
      </x:c>
      <x:c r="B15" s="22" t="str">
        <x:v>C-NEED</x:v>
      </x:c>
      <x:c r="C15" s="22" t="str">
        <x:v>Điều kiện mở thẻ tín dụng Home Credit</x:v>
      </x:c>
      <x:c r="D15" s="22" t="str">
        <x:v>Credit Card</x:v>
      </x:c>
      <x:c r="E15" s="22" t="str">
        <x:v>Support</x:v>
      </x:c>
      <x:c r="F15" s="22" t="str">
        <x:v>Support C-Need</x:v>
      </x:c>
      <x:c r="G15" s="22" t="str">
        <x:v>Qualification</x:v>
      </x:c>
      <x:c r="H15" s="22" t="str">
        <x:v>Eligibility</x:v>
      </x:c>
      <x:c r="I15" s="22" t="str">
        <x:v>Medium</x:v>
      </x:c>
      <x:c r="J15" s="22" t="str">
        <x:v>P1</x:v>
      </x:c>
      <x:c r="K15" s="22" t="n">
        <x:v>12</x:v>
      </x:c>
      <x:c r="L15" s="22" t="str">
        <x:v>New article</x:v>
      </x:c>
      <x:c r="M15" s="22" t="str">
        <x:v>Không hứa được cấp thẻ/hạn mức.</x:v>
      </x:c>
    </x:row>
    <x:row r="16">
      <x:c r="A16" s="22" t="n">
        <x:v>13</x:v>
      </x:c>
      <x:c r="B16" s="22" t="str">
        <x:v>C-STATEMENT</x:v>
      </x:c>
      <x:c r="C16" s="22" t="str">
        <x:v>Sao kê, ngày đến hạn và thanh toán tối thiểu thẻ Home Credit</x:v>
      </x:c>
      <x:c r="D16" s="22" t="str">
        <x:v>Credit Card</x:v>
      </x:c>
      <x:c r="E16" s="22" t="str">
        <x:v>Support</x:v>
      </x:c>
      <x:c r="F16" s="22" t="str">
        <x:v>Support C-Statement</x:v>
      </x:c>
      <x:c r="G16" s="22" t="str">
        <x:v>Servicing</x:v>
      </x:c>
      <x:c r="H16" s="22" t="str">
        <x:v>Billing</x:v>
      </x:c>
      <x:c r="I16" s="22" t="str">
        <x:v>Low</x:v>
      </x:c>
      <x:c r="J16" s="22" t="str">
        <x:v>P1</x:v>
      </x:c>
      <x:c r="K16" s="22" t="n">
        <x:v>13</x:v>
      </x:c>
      <x:c r="L16" s="22" t="str">
        <x:v>New article</x:v>
      </x:c>
      <x:c r="M16" s="22" t="str">
        <x:v>Kiểm FAQ/biểu phí hiện hành.</x:v>
      </x:c>
    </x:row>
    <x:row r="17">
      <x:c r="A17" s="22" t="n">
        <x:v>14</x:v>
      </x:c>
      <x:c r="B17" s="22" t="str">
        <x:v>C-ACTIVATE</x:v>
      </x:c>
      <x:c r="C17" s="22" t="str">
        <x:v>Cách kích hoạt thẻ tín dụng Home Credit</x:v>
      </x:c>
      <x:c r="D17" s="22" t="str">
        <x:v>Credit Card</x:v>
      </x:c>
      <x:c r="E17" s="22" t="str">
        <x:v>Support</x:v>
      </x:c>
      <x:c r="F17" s="22" t="str">
        <x:v>Support C-Activate</x:v>
      </x:c>
      <x:c r="G17" s="22" t="str">
        <x:v>Post-approval</x:v>
      </x:c>
      <x:c r="H17" s="22" t="str">
        <x:v>Activation</x:v>
      </x:c>
      <x:c r="I17" s="22" t="str">
        <x:v>Low</x:v>
      </x:c>
      <x:c r="J17" s="22" t="str">
        <x:v>P1</x:v>
      </x:c>
      <x:c r="K17" s="22" t="n">
        <x:v>14</x:v>
      </x:c>
      <x:c r="L17" s="22" t="str">
        <x:v>Conditional article</x:v>
      </x:c>
      <x:c r="M17" s="22" t="str">
        <x:v>App/hotline hiện hành.</x:v>
      </x:c>
    </x:row>
    <x:row r="18">
      <x:c r="A18" s="22" t="n">
        <x:v>15</x:v>
      </x:c>
      <x:c r="B18" s="22" t="str">
        <x:v>B-COMPARE</x:v>
      </x:c>
      <x:c r="C18" s="22" t="str">
        <x:v>Vay tiền mặt hay thẻ tín dụng Home Credit khác nhau thế nào?</x:v>
      </x:c>
      <x:c r="D18" s="22" t="str">
        <x:v>Bridge</x:v>
      </x:c>
      <x:c r="E18" s="22" t="str">
        <x:v>Bridge</x:v>
      </x:c>
      <x:c r="F18" s="22" t="str">
        <x:v>Bridge L↔C</x:v>
      </x:c>
      <x:c r="G18" s="22" t="str">
        <x:v>Routing</x:v>
      </x:c>
      <x:c r="H18" s="22" t="str">
        <x:v>Clarification</x:v>
      </x:c>
      <x:c r="I18" s="22" t="str">
        <x:v>Low-Medium</x:v>
      </x:c>
      <x:c r="J18" s="22" t="str">
        <x:v>P1</x:v>
      </x:c>
      <x:c r="K18" s="22" t="n">
        <x:v>15</x:v>
      </x:c>
      <x:c r="L18" s="22" t="str">
        <x:v>New article</x:v>
      </x:c>
      <x:c r="M18" s="22" t="str">
        <x:v>Không đưa khuyến nghị tài chính cá nhân hóa.</x:v>
      </x:c>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HOME CREDIT – EXECUTION BRIEF INDEX</x:v>
      </x:c>
      <x:c r="B1" s="28"/>
      <x:c r="C1" s="28"/>
      <x:c r="D1" s="28"/>
      <x:c r="E1" s="28"/>
      <x:c r="F1" s="28"/>
      <x:c r="G1" s="28"/>
      <x:c r="H1" s="28"/>
      <x:c r="I1" s="28"/>
      <x:c r="J1" s="28"/>
      <x:c r="K1" s="28"/>
      <x:c r="L1" s="28"/>
    </x:row>
    <x:row r="3">
      <x:c r="A3" s="20" t="str">
        <x:v>Order</x:v>
      </x:c>
      <x:c r="B3" s="20" t="str">
        <x:v>Asset ID</x:v>
      </x:c>
      <x:c r="C3" s="20" t="str">
        <x:v>Content asset</x:v>
      </x:c>
      <x:c r="D3" s="20" t="str">
        <x:v>Type</x:v>
      </x:c>
      <x:c r="E3" s="20" t="str">
        <x:v>Canonical owner</x:v>
      </x:c>
      <x:c r="F3" s="20" t="str">
        <x:v>Search intent</x:v>
      </x:c>
      <x:c r="G3" s="20" t="str">
        <x:v>Affiliate role</x:v>
      </x:c>
      <x:c r="H3" s="20" t="str">
        <x:v>Priority</x:v>
      </x:c>
      <x:c r="I3" s="20" t="str">
        <x:v>Target day</x:v>
      </x:c>
      <x:c r="J3" s="20" t="str">
        <x:v>Status</x:v>
      </x:c>
      <x:c r="K3" s="20" t="str">
        <x:v>Primary source</x:v>
      </x:c>
      <x:c r="L3" s="20" t="str">
        <x:v>Notes</x:v>
      </x:c>
    </x:row>
    <x:row r="4">
      <x:c r="A4" s="22" t="n">
        <x:v>1</x:v>
      </x:c>
      <x:c r="B4" s="22" t="str">
        <x:v>L-PILLAR</x:v>
      </x:c>
      <x:c r="C4" s="22" t="str">
        <x:v>Vay tiền mặt Home Credit online</x:v>
      </x:c>
      <x:c r="D4" s="22" t="str">
        <x:v>Existing pillar</x:v>
      </x:c>
      <x:c r="E4" s="22" t="str">
        <x:v>Pillar L</x:v>
      </x:c>
      <x:c r="F4" s="22" t="str">
        <x:v>Transactional</x:v>
      </x:c>
      <x:c r="G4" s="22" t="str">
        <x:v>Acquisition</x:v>
      </x:c>
      <x:c r="H4" s="22" t="str">
        <x:v>P0</x:v>
      </x:c>
      <x:c r="I4" s="22" t="n">
        <x:v>1</x:v>
      </x:c>
      <x:c r="J4" s="22" t="str">
        <x:v>Ready / gated</x:v>
      </x:c>
      <x:c r="K4" s="22" t="str">
        <x:v>https://dangky.homecredit.vn/vay-tien</x:v>
      </x:c>
      <x:c r="L4" s="22" t="str">
        <x:v>Không đổi URL; không hứa duyệt/hạn mức.</x:v>
      </x:c>
    </x:row>
    <x:row r="5">
      <x:c r="A5" s="22" t="n">
        <x:v>2</x:v>
      </x:c>
      <x:c r="B5" s="22" t="str">
        <x:v>C-PILLAR</x:v>
      </x:c>
      <x:c r="C5" s="22" t="str">
        <x:v>Mở thẻ tín dụng Home Credit online</x:v>
      </x:c>
      <x:c r="D5" s="22" t="str">
        <x:v>New pillar</x:v>
      </x:c>
      <x:c r="E5" s="22" t="str">
        <x:v>Pillar C</x:v>
      </x:c>
      <x:c r="F5" s="22" t="str">
        <x:v>Transactional</x:v>
      </x:c>
      <x:c r="G5" s="22" t="str">
        <x:v>Acquisition</x:v>
      </x:c>
      <x:c r="H5" s="22" t="str">
        <x:v>P0</x:v>
      </x:c>
      <x:c r="I5" s="22" t="n">
        <x:v>2</x:v>
      </x:c>
      <x:c r="J5" s="22" t="str">
        <x:v>Ready / gated</x:v>
      </x:c>
      <x:c r="K5" s="22" t="str">
        <x:v>https://www.homecredit.vn/the-tin-dung-online</x:v>
      </x:c>
      <x:c r="L5" s="22" t="str">
        <x:v>Kiểm biểu phí hiện hành.</x:v>
      </x:c>
    </x:row>
    <x:row r="6">
      <x:c r="A6" s="22" t="n">
        <x:v>3</x:v>
      </x:c>
      <x:c r="B6" s="22" t="str">
        <x:v>L-RATE</x:v>
      </x:c>
      <x:c r="C6" s="22" t="str">
        <x:v>Lãi suất vay tiền mặt Home Credit tính thế nào?</x:v>
      </x:c>
      <x:c r="D6" s="22" t="str">
        <x:v>Support</x:v>
      </x:c>
      <x:c r="E6" s="22" t="str">
        <x:v>Support L-Rate</x:v>
      </x:c>
      <x:c r="F6" s="22" t="str">
        <x:v>Cost</x:v>
      </x:c>
      <x:c r="G6" s="22" t="str">
        <x:v>Decision support</x:v>
      </x:c>
      <x:c r="H6" s="22" t="str">
        <x:v>P0</x:v>
      </x:c>
      <x:c r="I6" s="22" t="n">
        <x:v>3</x:v>
      </x:c>
      <x:c r="J6" s="22" t="str">
        <x:v>Ready / gated</x:v>
      </x:c>
      <x:c r="K6" s="22" t="str">
        <x:v>https://www.homecredit.vn/faq/vay-tien-mat</x:v>
      </x:c>
      <x:c r="L6" s="22" t="str">
        <x:v>Phân biệt flat vs declining balance.</x:v>
      </x:c>
    </x:row>
    <x:row r="7">
      <x:c r="A7" s="22" t="n">
        <x:v>4</x:v>
      </x:c>
      <x:c r="B7" s="22" t="str">
        <x:v>L-REJECT</x:v>
      </x:c>
      <x:c r="C7" s="22" t="str">
        <x:v>Hồ sơ vay Home Credit bị từ chối vì sao?</x:v>
      </x:c>
      <x:c r="D7" s="22" t="str">
        <x:v>Support</x:v>
      </x:c>
      <x:c r="E7" s="22" t="str">
        <x:v>Support L-Reject</x:v>
      </x:c>
      <x:c r="F7" s="22" t="str">
        <x:v>Troubleshooting</x:v>
      </x:c>
      <x:c r="G7" s="22" t="str">
        <x:v>Task completion</x:v>
      </x:c>
      <x:c r="H7" s="22" t="str">
        <x:v>P0</x:v>
      </x:c>
      <x:c r="I7" s="22" t="n">
        <x:v>4</x:v>
      </x:c>
      <x:c r="J7" s="22" t="str">
        <x:v>Ready / gated</x:v>
      </x:c>
      <x:c r="K7" s="22" t="str">
        <x:v>https://www.homecredit.vn/faq/hop-dong-vay</x:v>
      </x:c>
      <x:c r="L7" s="22" t="str">
        <x:v>Không dạy lách thẩm định.</x:v>
      </x:c>
    </x:row>
    <x:row r="8">
      <x:c r="A8" s="22" t="n">
        <x:v>5</x:v>
      </x:c>
      <x:c r="B8" s="22" t="str">
        <x:v>L-COST</x:v>
      </x:c>
      <x:c r="C8" s="22" t="str">
        <x:v>Vay Home Credit có phí gì? Bảo hiểm và tất toán trước hạn</x:v>
      </x:c>
      <x:c r="D8" s="22" t="str">
        <x:v>Support</x:v>
      </x:c>
      <x:c r="E8" s="22" t="str">
        <x:v>Support L-Cost</x:v>
      </x:c>
      <x:c r="F8" s="22" t="str">
        <x:v>Cost</x:v>
      </x:c>
      <x:c r="G8" s="22" t="str">
        <x:v>Decision support</x:v>
      </x:c>
      <x:c r="H8" s="22" t="str">
        <x:v>P0</x:v>
      </x:c>
      <x:c r="I8" s="22" t="n">
        <x:v>5</x:v>
      </x:c>
      <x:c r="J8" s="22" t="str">
        <x:v>Ready / gated</x:v>
      </x:c>
      <x:c r="K8" s="22" t="str">
        <x:v>https://dangky.homecredit.vn/vay-tien</x:v>
      </x:c>
      <x:c r="L8" s="22" t="str">
        <x:v>Nguồn hợp đồng/biểu phí hiện hành.</x:v>
      </x:c>
    </x:row>
    <x:row r="9">
      <x:c r="A9" s="22" t="n">
        <x:v>6</x:v>
      </x:c>
      <x:c r="B9" s="22" t="str">
        <x:v>C-COST</x:v>
      </x:c>
      <x:c r="C9" s="22" t="str">
        <x:v>Phí và lãi suất thẻ tín dụng Home Credit</x:v>
      </x:c>
      <x:c r="D9" s="22" t="str">
        <x:v>Support</x:v>
      </x:c>
      <x:c r="E9" s="22" t="str">
        <x:v>Support C-Cost</x:v>
      </x:c>
      <x:c r="F9" s="22" t="str">
        <x:v>Cost</x:v>
      </x:c>
      <x:c r="G9" s="22" t="str">
        <x:v>Decision support</x:v>
      </x:c>
      <x:c r="H9" s="22" t="str">
        <x:v>P0</x:v>
      </x:c>
      <x:c r="I9" s="22" t="n">
        <x:v>6</x:v>
      </x:c>
      <x:c r="J9" s="22" t="str">
        <x:v>Ready / gated</x:v>
      </x:c>
      <x:c r="K9" s="22" t="str">
        <x:v>https://www.homecredit.vn/tra-cuu-mau-hop-dong</x:v>
      </x:c>
      <x:c r="L9" s="22" t="str">
        <x:v>Tra biểu phí mới nhất trước publish.</x:v>
      </x:c>
    </x:row>
    <x:row r="10">
      <x:c r="A10" s="22" t="n">
        <x:v>7</x:v>
      </x:c>
      <x:c r="B10" s="22" t="str">
        <x:v>C-CASH</x:v>
      </x:c>
      <x:c r="C10" s="22" t="str">
        <x:v>Rút tiền mặt từ thẻ tín dụng Home Credit</x:v>
      </x:c>
      <x:c r="D10" s="22" t="str">
        <x:v>Support</x:v>
      </x:c>
      <x:c r="E10" s="22" t="str">
        <x:v>Support C-Cash</x:v>
      </x:c>
      <x:c r="F10" s="22" t="str">
        <x:v>Cash advance</x:v>
      </x:c>
      <x:c r="G10" s="22" t="str">
        <x:v>Decision/support</x:v>
      </x:c>
      <x:c r="H10" s="22" t="str">
        <x:v>P0</x:v>
      </x:c>
      <x:c r="I10" s="22" t="n">
        <x:v>7</x:v>
      </x:c>
      <x:c r="J10" s="22" t="str">
        <x:v>Ready / gated</x:v>
      </x:c>
      <x:c r="K10" s="22" t="str">
        <x:v>https://www.homecredit.vn/faq/the-tin-dung</x:v>
      </x:c>
      <x:c r="L10" s="22" t="str">
        <x:v>Nêu phí + lãi, không cổ vũ rút tiền.</x:v>
      </x:c>
    </x:row>
    <x:row r="11">
      <x:c r="A11" s="22" t="n">
        <x:v>8</x:v>
      </x:c>
      <x:c r="B11" s="22" t="str">
        <x:v>C-INSTALL</x:v>
      </x:c>
      <x:c r="C11" s="22" t="str">
        <x:v>Trả góp thẻ tín dụng Home Credit</x:v>
      </x:c>
      <x:c r="D11" s="22" t="str">
        <x:v>Support</x:v>
      </x:c>
      <x:c r="E11" s="22" t="str">
        <x:v>Support C-Installment</x:v>
      </x:c>
      <x:c r="F11" s="22" t="str">
        <x:v>Installment</x:v>
      </x:c>
      <x:c r="G11" s="22" t="str">
        <x:v>Post-action</x:v>
      </x:c>
      <x:c r="H11" s="22" t="str">
        <x:v>P0</x:v>
      </x:c>
      <x:c r="I11" s="22" t="n">
        <x:v>8</x:v>
      </x:c>
      <x:c r="J11" s="22" t="str">
        <x:v>Ready / gated</x:v>
      </x:c>
      <x:c r="K11" s="22" t="str">
        <x:v>https://www.homecredit.vn/tra-cuu-mau-hop-dong</x:v>
      </x:c>
      <x:c r="L11" s="22" t="str">
        <x:v>Nguồn điều khoản mới nhất.</x:v>
      </x:c>
    </x:row>
    <x:row r="12">
      <x:c r="A12" s="22" t="n">
        <x:v>9</x:v>
      </x:c>
      <x:c r="B12" s="22" t="str">
        <x:v>L-NEED</x:v>
      </x:c>
      <x:c r="C12" s="22" t="str">
        <x:v>Vay Home Credit cần gì? Điều kiện và giấy tờ</x:v>
      </x:c>
      <x:c r="D12" s="22" t="str">
        <x:v>Support</x:v>
      </x:c>
      <x:c r="E12" s="22" t="str">
        <x:v>Support L-Need</x:v>
      </x:c>
      <x:c r="F12" s="22" t="str">
        <x:v>Eligibility</x:v>
      </x:c>
      <x:c r="G12" s="22" t="str">
        <x:v>Qualification</x:v>
      </x:c>
      <x:c r="H12" s="22" t="str">
        <x:v>P1</x:v>
      </x:c>
      <x:c r="I12" s="22" t="n">
        <x:v>9</x:v>
      </x:c>
      <x:c r="J12" s="22" t="str">
        <x:v>Ready / gated</x:v>
      </x:c>
      <x:c r="K12" s="22" t="str">
        <x:v>https://www.homecredit.vn/blog/cap-nhat-hop-dong-cho-vay-tien-mat</x:v>
      </x:c>
      <x:c r="L12" s="22" t="str">
        <x:v>Điều kiện không đồng nghĩa phê duyệt.</x:v>
      </x:c>
    </x:row>
    <x:row r="13">
      <x:c r="A13" s="22" t="n">
        <x:v>10</x:v>
      </x:c>
      <x:c r="B13" s="22" t="str">
        <x:v>L-TIME</x:v>
      </x:c>
      <x:c r="C13" s="22" t="str">
        <x:v>Home Credit duyệt hồ sơ và giải ngân bao lâu?</x:v>
      </x:c>
      <x:c r="D13" s="22" t="str">
        <x:v>Support</x:v>
      </x:c>
      <x:c r="E13" s="22" t="str">
        <x:v>Support L-Time</x:v>
      </x:c>
      <x:c r="F13" s="22" t="str">
        <x:v>Timing</x:v>
      </x:c>
      <x:c r="G13" s="22" t="str">
        <x:v>Task completion</x:v>
      </x:c>
      <x:c r="H13" s="22" t="str">
        <x:v>P1</x:v>
      </x:c>
      <x:c r="I13" s="22" t="n">
        <x:v>10</x:v>
      </x:c>
      <x:c r="J13" s="22" t="str">
        <x:v>Ready / gated</x:v>
      </x:c>
      <x:c r="K13" s="22" t="str">
        <x:v>https://dangky.homecredit.vn/vay-tien</x:v>
      </x:c>
      <x:c r="L13" s="22" t="str">
        <x:v>Không cam kết thời gian cho mọi hồ sơ.</x:v>
      </x:c>
    </x:row>
    <x:row r="14">
      <x:c r="A14" s="22" t="n">
        <x:v>11</x:v>
      </x:c>
      <x:c r="B14" s="22" t="str">
        <x:v>L-PAY</x:v>
      </x:c>
      <x:c r="C14" s="22" t="str">
        <x:v>Thanh toán khoản vay Home Credit và xử lý trễ hạn</x:v>
      </x:c>
      <x:c r="D14" s="22" t="str">
        <x:v>Support</x:v>
      </x:c>
      <x:c r="E14" s="22" t="str">
        <x:v>Support L-Payment</x:v>
      </x:c>
      <x:c r="F14" s="22" t="str">
        <x:v>Payment</x:v>
      </x:c>
      <x:c r="G14" s="22" t="str">
        <x:v>Servicing</x:v>
      </x:c>
      <x:c r="H14" s="22" t="str">
        <x:v>P1</x:v>
      </x:c>
      <x:c r="I14" s="22" t="n">
        <x:v>11</x:v>
      </x:c>
      <x:c r="J14" s="22" t="str">
        <x:v>Ready / gated</x:v>
      </x:c>
      <x:c r="K14" s="22" t="str">
        <x:v>https://www.homecredit.vn/faq/ung-dung-home-credit</x:v>
      </x:c>
      <x:c r="L14" s="22" t="str">
        <x:v>Không hướng dẫn né nghĩa vụ trả nợ.</x:v>
      </x:c>
    </x:row>
    <x:row r="15">
      <x:c r="A15" s="22" t="n">
        <x:v>12</x:v>
      </x:c>
      <x:c r="B15" s="22" t="str">
        <x:v>C-NEED</x:v>
      </x:c>
      <x:c r="C15" s="22" t="str">
        <x:v>Điều kiện mở thẻ tín dụng Home Credit</x:v>
      </x:c>
      <x:c r="D15" s="22" t="str">
        <x:v>Support</x:v>
      </x:c>
      <x:c r="E15" s="22" t="str">
        <x:v>Support C-Need</x:v>
      </x:c>
      <x:c r="F15" s="22" t="str">
        <x:v>Eligibility</x:v>
      </x:c>
      <x:c r="G15" s="22" t="str">
        <x:v>Qualification</x:v>
      </x:c>
      <x:c r="H15" s="22" t="str">
        <x:v>P1</x:v>
      </x:c>
      <x:c r="I15" s="22" t="n">
        <x:v>12</x:v>
      </x:c>
      <x:c r="J15" s="22" t="str">
        <x:v>Ready / gated</x:v>
      </x:c>
      <x:c r="K15" s="22" t="str">
        <x:v>https://www.homecredit.vn/the-tin-dung-online</x:v>
      </x:c>
      <x:c r="L15" s="22" t="str">
        <x:v>Không hứa được cấp thẻ/hạn mức.</x:v>
      </x:c>
    </x:row>
    <x:row r="16">
      <x:c r="A16" s="22" t="n">
        <x:v>13</x:v>
      </x:c>
      <x:c r="B16" s="22" t="str">
        <x:v>C-STATEMENT</x:v>
      </x:c>
      <x:c r="C16" s="22" t="str">
        <x:v>Sao kê, ngày đến hạn và thanh toán tối thiểu thẻ Home Credit</x:v>
      </x:c>
      <x:c r="D16" s="22" t="str">
        <x:v>Support</x:v>
      </x:c>
      <x:c r="E16" s="22" t="str">
        <x:v>Support C-Statement</x:v>
      </x:c>
      <x:c r="F16" s="22" t="str">
        <x:v>Billing</x:v>
      </x:c>
      <x:c r="G16" s="22" t="str">
        <x:v>Servicing</x:v>
      </x:c>
      <x:c r="H16" s="22" t="str">
        <x:v>P1</x:v>
      </x:c>
      <x:c r="I16" s="22" t="n">
        <x:v>13</x:v>
      </x:c>
      <x:c r="J16" s="22" t="str">
        <x:v>Ready / gated</x:v>
      </x:c>
      <x:c r="K16" s="22" t="str">
        <x:v>https://www.homecredit.vn/faq/the-tin-dung</x:v>
      </x:c>
      <x:c r="L16" s="22" t="str">
        <x:v>Kiểm FAQ/biểu phí hiện hành.</x:v>
      </x:c>
    </x:row>
    <x:row r="17">
      <x:c r="A17" s="22" t="n">
        <x:v>14</x:v>
      </x:c>
      <x:c r="B17" s="22" t="str">
        <x:v>C-ACTIVATE</x:v>
      </x:c>
      <x:c r="C17" s="22" t="str">
        <x:v>Cách kích hoạt thẻ tín dụng Home Credit</x:v>
      </x:c>
      <x:c r="D17" s="22" t="str">
        <x:v>Support</x:v>
      </x:c>
      <x:c r="E17" s="22" t="str">
        <x:v>Support C-Activate</x:v>
      </x:c>
      <x:c r="F17" s="22" t="str">
        <x:v>Activation</x:v>
      </x:c>
      <x:c r="G17" s="22" t="str">
        <x:v>Post-approval</x:v>
      </x:c>
      <x:c r="H17" s="22" t="str">
        <x:v>P1</x:v>
      </x:c>
      <x:c r="I17" s="22" t="n">
        <x:v>14</x:v>
      </x:c>
      <x:c r="J17" s="22" t="str">
        <x:v>Ready / gated</x:v>
      </x:c>
      <x:c r="K17" s="22" t="str">
        <x:v>https://www.homecredit.vn/faq/the-tin-dung</x:v>
      </x:c>
      <x:c r="L17" s="22" t="str">
        <x:v>App/hotline hiện hành.</x:v>
      </x:c>
    </x:row>
    <x:row r="18">
      <x:c r="A18" s="22" t="n">
        <x:v>15</x:v>
      </x:c>
      <x:c r="B18" s="22" t="str">
        <x:v>B-COMPARE</x:v>
      </x:c>
      <x:c r="C18" s="22" t="str">
        <x:v>Vay tiền mặt hay thẻ tín dụng Home Credit khác nhau thế nào?</x:v>
      </x:c>
      <x:c r="D18" s="22" t="str">
        <x:v>Bridge</x:v>
      </x:c>
      <x:c r="E18" s="22" t="str">
        <x:v>Bridge L↔C</x:v>
      </x:c>
      <x:c r="F18" s="22" t="str">
        <x:v>Clarification</x:v>
      </x:c>
      <x:c r="G18" s="22" t="str">
        <x:v>Routing</x:v>
      </x:c>
      <x:c r="H18" s="22" t="str">
        <x:v>P1</x:v>
      </x:c>
      <x:c r="I18" s="22" t="n">
        <x:v>15</x:v>
      </x:c>
      <x:c r="J18" s="22" t="str">
        <x:v>Ready / gated</x:v>
      </x:c>
      <x:c r="K18" s="22" t="str">
        <x:v>https://www.homecredit.vn/</x:v>
      </x:c>
      <x:c r="L18" s="22" t="str">
        <x:v>Không đưa khuyến nghị tài chính cá nhân hóa.</x:v>
      </x:c>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HOME CREDIT – DETAILED EXECUTION BRIEFS</x:v>
      </x:c>
      <x:c r="B1" s="28"/>
      <x:c r="C1" s="28"/>
      <x:c r="D1" s="28"/>
      <x:c r="E1" s="28"/>
      <x:c r="F1" s="28"/>
      <x:c r="G1" s="28"/>
      <x:c r="H1" s="28"/>
      <x:c r="I1" s="28"/>
      <x:c r="J1" s="28"/>
      <x:c r="K1" s="28"/>
      <x:c r="L1" s="28"/>
      <x:c r="M1" s="28"/>
      <x:c r="N1" s="28"/>
      <x:c r="O1" s="28"/>
      <x:c r="P1" s="28"/>
      <x:c r="Q1" s="28"/>
    </x:row>
    <x:row r="2">
      <x:c r="A2" s="42" t="str">
        <x:v>Filter theo Asset ID. Các con số lãi/phí/hạn mức chỉ được đưa vào production khi source gate xác nhận nguồn Home Credit hiện hành.</x:v>
      </x:c>
      <x:c r="B2" s="42"/>
      <x:c r="C2" s="42"/>
      <x:c r="D2" s="42"/>
      <x:c r="E2" s="42"/>
      <x:c r="F2" s="42"/>
      <x:c r="G2" s="42"/>
      <x:c r="H2" s="42"/>
      <x:c r="I2" s="42"/>
      <x:c r="J2" s="42"/>
      <x:c r="K2" s="42"/>
      <x:c r="L2" s="42"/>
      <x:c r="M2" s="42"/>
      <x:c r="N2" s="42"/>
      <x:c r="O2" s="42"/>
      <x:c r="P2" s="42"/>
      <x:c r="Q2" s="42"/>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 note</x:v>
      </x:c>
    </x:row>
    <x:row r="5">
      <x:c r="A5" s="22" t="str">
        <x:v>L-PILLAR</x:v>
      </x:c>
      <x:c r="B5" s="22" t="str">
        <x:v>Existing pillar</x:v>
      </x:c>
      <x:c r="C5" s="22" t="str">
        <x:v>SEO Title</x:v>
      </x:c>
      <x:c xmlns:x="http://schemas.openxmlformats.org/spreadsheetml/2006/main" r="D5" s="22" t="str">
        <x:v>Hướng dẫn vay tiền mặt Home Credit online</x:v>
      </x:c>
      <x:c r="E5" s="22" t="str">
        <x:v>Transactional loan</x:v>
      </x:c>
      <x:c r="F5" s="22" t="str">
        <x:v>Sở hữu intent vay tiền mặt Home Credit.</x:v>
      </x:c>
      <x:c r="G5" s="22" t="str">
        <x:v>Điều kiện, hạn mức/kỳ hạn, lãi/phí, quy trình, thẩm định.</x:v>
      </x:c>
      <x:c r="H5" s="22" t="str">
        <x:v>Không hứa duyệt 100%, không dùng 'vay chắc chắn'.</x:v>
      </x:c>
      <x:c r="I5" s="22" t="str">
        <x:v>Product → conditions → costs → process → decision.</x:v>
      </x:c>
      <x:c r="J5" s="22" t="str">
        <x:v>SERP</x:v>
      </x:c>
      <x:c r="K5" s="22" t="str">
        <x:v>Apply/check eligibility</x:v>
      </x:c>
      <x:c r="L5" s="22" t="str">
        <x:v>L-NEED, L-RATE, L-REJECT, L-COST, L-PAY, C-PILLAR</x:v>
      </x:c>
      <x:c r="M5" s="22" t="str">
        <x:v>https://dangky.homecredit.vn/vay-tien</x:v>
      </x:c>
      <x:c r="N5" s="22" t="str">
        <x:v>Current product figures + affiliate link</x:v>
      </x:c>
      <x:c r="O5" s="22" t="str">
        <x:v>P0</x:v>
      </x:c>
      <x:c r="P5" s="22" t="str">
        <x:v>Keep existing URL</x:v>
      </x:c>
      <x:c xmlns:x="http://schemas.openxmlformats.org/spreadsheetml/2006/main" r="Q5" s="22" t="str">
        <x:v>Giữ URL và tiêu đề đã được chủ website chốt, có online ở cuối.</x:v>
      </x:c>
    </x:row>
    <x:row r="6">
      <x:c r="A6" s="22" t="str">
        <x:v>L-PILLAR</x:v>
      </x:c>
      <x:c r="B6" s="22" t="str">
        <x:v>Existing pillar</x:v>
      </x:c>
      <x:c r="C6" s="22" t="str">
        <x:v>H1</x:v>
      </x:c>
      <x:c xmlns:x="http://schemas.openxmlformats.org/spreadsheetml/2006/main" r="D6" s="22" t="str">
        <x:v>Hướng dẫn vay tiền mặt Home Credit online</x:v>
      </x:c>
      <x:c r="E6" s="22" t="str">
        <x:v>Transactional + decision</x:v>
      </x:c>
      <x:c r="F6" s="22" t="str">
        <x:v>Kết hợp acquisition với financial clarity.</x:v>
      </x:c>
      <x:c r="G6" s="22" t="str">
        <x:v>Product, Home Credit decision, total cost, CTA.</x:v>
      </x:c>
      <x:c r="H6" s="22" t="str">
        <x:v>Không biến H1 thành claim 'duyệt nhanh chắc chắn'.</x:v>
      </x:c>
      <x:c r="I6" s="22" t="str">
        <x:v>Direct summary + source date.</x:v>
      </x:c>
      <x:c r="J6" s="22" t="str">
        <x:v>Above fold</x:v>
      </x:c>
      <x:c r="K6" s="22" t="str">
        <x:v>Primary loan conversion</x:v>
      </x:c>
      <x:c r="L6" s="22" t="str">
        <x:v>L-RATE, L-COST</x:v>
      </x:c>
      <x:c r="M6" s="22" t="str">
        <x:v>https://dangky.homecredit.vn/vay-tien</x:v>
      </x:c>
      <x:c r="N6" s="22" t="str">
        <x:v>Current application flow</x:v>
      </x:c>
      <x:c r="O6" s="22" t="str">
        <x:v>P0</x:v>
      </x:c>
      <x:c r="P6" s="22" t="str">
        <x:v>Required</x:v>
      </x:c>
      <x:c r="Q6" s="22" t="str">
        <x:v>CTA sau tóm tắt và disclosure.</x:v>
      </x:c>
    </x:row>
    <x:row r="7">
      <x:c r="A7" s="22" t="str">
        <x:v>L-PILLAR</x:v>
      </x:c>
      <x:c r="B7" s="22" t="str">
        <x:v>Existing pillar</x:v>
      </x:c>
      <x:c r="C7" s="22" t="str">
        <x:v>Answer block</x:v>
      </x:c>
      <x:c r="D7" s="22" t="str">
        <x:v>Home Credit cho phép đăng ký khoản vay tiền mặt online và tự thẩm định hồ sơ. Hạn mức, kỳ hạn, lãi suất và thời gian xử lý thực tế phụ thuộc hồ sơ và đề nghị được Home Credit hiển thị; hãy đọc tổng số tiền phải trả và điều khoản trước khi ký.</x:v>
      </x:c>
      <x:c r="E7" s="22" t="str">
        <x:v>Money intent</x:v>
      </x:c>
      <x:c r="F7" s="22" t="str">
        <x:v>Answer immediately without overclaim.</x:v>
      </x:c>
      <x:c r="G7" s="22" t="str">
        <x:v>Online channel; underwriting; costs vary; contract review.</x:v>
      </x:c>
      <x:c r="H7" s="22" t="str">
        <x:v>Không nói 'chỉ CCCD là chắc vay được'.</x:v>
      </x:c>
      <x:c r="I7" s="22" t="str">
        <x:v>2–4 câu độc lập.</x:v>
      </x:c>
      <x:c r="J7" s="22" t="str">
        <x:v>Above fold</x:v>
      </x:c>
      <x:c r="K7" s="22" t="str">
        <x:v>Trust → apply</x:v>
      </x:c>
      <x:c r="L7" s="22" t="str">
        <x:v>L-NEED, L-RATE</x:v>
      </x:c>
      <x:c r="M7" s="22" t="str">
        <x:v>https://dangky.homecredit.vn/vay-tien</x:v>
      </x:c>
      <x:c r="N7" s="22" t="str">
        <x:v>Current wording/terms</x:v>
      </x:c>
      <x:c r="O7" s="22" t="str">
        <x:v>P0</x:v>
      </x:c>
      <x:c r="P7" s="22" t="str">
        <x:v>Required</x:v>
      </x:c>
      <x:c r="Q7" s="22" t="str">
        <x:v>Strong GEO block.</x:v>
      </x:c>
    </x:row>
    <x:row r="8">
      <x:c r="A8" s="22" t="str">
        <x:v>L-PILLAR</x:v>
      </x:c>
      <x:c r="B8" s="22" t="str">
        <x:v>Existing pillar</x:v>
      </x:c>
      <x:c r="C8" s="22" t="str">
        <x:v>H2</x:v>
      </x:c>
      <x:c r="D8" s="22" t="str">
        <x:v>Điều kiện và giấy tờ vay tiền mặt Home Credit</x:v>
      </x:c>
      <x:c r="E8" s="22" t="str">
        <x:v>Eligibility</x:v>
      </x:c>
      <x:c r="F8" s="22" t="str">
        <x:v>Qualification.</x:v>
      </x:c>
      <x:c r="G8" s="22" t="str">
        <x:v>Age/product conditions; CCCD; extra docs may be requested.</x:v>
      </x:c>
      <x:c r="H8" s="22" t="str">
        <x:v>Không guarantee eligibility.</x:v>
      </x:c>
      <x:c r="I8" s="22" t="str">
        <x:v>Checklist + caveat.</x:v>
      </x:c>
      <x:c r="J8" s="22" t="str">
        <x:v>Before CTA 2</x:v>
      </x:c>
      <x:c r="K8" s="22" t="str">
        <x:v>Qualified conversion</x:v>
      </x:c>
      <x:c r="L8" s="22" t="str">
        <x:v>L-NEED</x:v>
      </x:c>
      <x:c r="M8" s="22" t="str">
        <x:v>https://www.homecredit.vn/blog/cap-nhat-hop-dong-cho-vay-tien-mat</x:v>
      </x:c>
      <x:c r="N8" s="22" t="str">
        <x:v>Current age/docs</x:v>
      </x:c>
      <x:c r="O8" s="22" t="str">
        <x:v>P1</x:v>
      </x:c>
      <x:c r="P8" s="22" t="str">
        <x:v>Required</x:v>
      </x:c>
      <x:c r="Q8" s="22" t="str">
        <x:v>Summary, deep-link to L-NEED.</x:v>
      </x:c>
    </x:row>
    <x:row r="9">
      <x:c r="A9" s="22" t="str">
        <x:v>L-PILLAR</x:v>
      </x:c>
      <x:c r="B9" s="22" t="str">
        <x:v>Existing pillar</x:v>
      </x:c>
      <x:c r="C9" s="22" t="str">
        <x:v>H2</x:v>
      </x:c>
      <x:c r="D9" s="22" t="str">
        <x:v>Lãi suất, phí và tổng số tiền phải trả</x:v>
      </x:c>
      <x:c r="E9" s="22" t="str">
        <x:v>Cost</x:v>
      </x:c>
      <x:c r="F9" s="22" t="str">
        <x:v>Financial transparency.</x:v>
      </x:c>
      <x:c r="G9" s="22" t="str">
        <x:v>Flat rate vs declining balance; optional insurance; other possible fees; total payable.</x:v>
      </x:c>
      <x:c r="H9" s="22" t="str">
        <x:v>Không trộn rate conventions; không chỉ show 'từ 0,75%/tháng'.</x:v>
      </x:c>
      <x:c r="I9" s="22" t="str">
        <x:v>Cost table + source/date.</x:v>
      </x:c>
      <x:c r="J9" s="22" t="str">
        <x:v>Before process or after conditions</x:v>
      </x:c>
      <x:c r="K9" s="22" t="str">
        <x:v>Informed conversion</x:v>
      </x:c>
      <x:c r="L9" s="22" t="str">
        <x:v>L-RATE, L-COST</x:v>
      </x:c>
      <x:c r="M9" s="22" t="str">
        <x:v>https://www.homecredit.vn/faq/vay-tien-mat</x:v>
      </x:c>
      <x:c r="N9" s="22" t="str">
        <x:v>Current rates/fees</x:v>
      </x:c>
      <x:c r="O9" s="22" t="str">
        <x:v>P0</x:v>
      </x:c>
      <x:c r="P9" s="22" t="str">
        <x:v>Required</x:v>
      </x:c>
      <x:c r="Q9" s="22" t="str">
        <x:v>Key YMYL section.</x:v>
      </x:c>
    </x:row>
    <x:row r="10">
      <x:c r="A10" s="22" t="str">
        <x:v>L-PILLAR</x:v>
      </x:c>
      <x:c r="B10" s="22" t="str">
        <x:v>Existing pillar</x:v>
      </x:c>
      <x:c r="C10" s="22" t="str">
        <x:v>H2</x:v>
      </x:c>
      <x:c r="D10" s="22" t="str">
        <x:v>Cách đăng ký vay Home Credit online</x:v>
      </x:c>
      <x:c r="E10" s="22" t="str">
        <x:v>How-to</x:v>
      </x:c>
      <x:c r="F10" s="22" t="str">
        <x:v>Task completion.</x:v>
      </x:c>
      <x:c r="G10" s="22" t="str">
        <x:v>Affiliate link → Home Credit → own data → underwriting → offer → contract.</x:v>
      </x:c>
      <x:c r="H10" s="22" t="str">
        <x:v>Không thu OTP/CCCD on 1 Phút Đăng Ký.</x:v>
      </x:c>
      <x:c r="I10" s="22" t="str">
        <x:v>Steps with handoff.</x:v>
      </x:c>
      <x:c r="J10" s="22" t="str">
        <x:v>Mid-page</x:v>
      </x:c>
      <x:c r="K10" s="22" t="str">
        <x:v>Apply</x:v>
      </x:c>
      <x:c r="L10" s="22" t="str">
        <x:v>L-REJECT</x:v>
      </x:c>
      <x:c xmlns:x="http://schemas.openxmlformats.org/spreadsheetml/2006/main" r="M10" s="22" t="str">
        <x:v>https://www.homecredit.vn/blog/huong-dan-dang-ky-vay-qua-ung-dung-clx-ug</x:v>
      </x:c>
      <x:c r="N10" s="22" t="str">
        <x:v>Current flow</x:v>
      </x:c>
      <x:c r="O10" s="22" t="str">
        <x:v>P0</x:v>
      </x:c>
      <x:c r="P10" s="22" t="str">
        <x:v>Required</x:v>
      </x:c>
      <x:c r="Q10" s="22" t="str">
        <x:v>Disclosure near CTA.</x:v>
      </x:c>
    </x:row>
    <x:row r="11">
      <x:c r="A11" s="22" t="str">
        <x:v>L-PILLAR</x:v>
      </x:c>
      <x:c r="B11" s="22" t="str">
        <x:v>Existing pillar</x:v>
      </x:c>
      <x:c r="C11" s="22" t="str">
        <x:v>H2</x:v>
      </x:c>
      <x:c r="D11" s="22" t="str">
        <x:v>Nếu hồ sơ bị từ chối hoặc chưa được giải ngân</x:v>
      </x:c>
      <x:c r="E11" s="22" t="str">
        <x:v>Problem bridge</x:v>
      </x:c>
      <x:c r="F11" s="22" t="str">
        <x:v>Reduce abandonment / route support.</x:v>
      </x:c>
      <x:c r="G11" s="22" t="str">
        <x:v>Rejection; reapply logic; timing; support.</x:v>
      </x:c>
      <x:c r="H11" s="22" t="str">
        <x:v>Không dạy cách lách credit assessment.</x:v>
      </x:c>
      <x:c r="I11" s="22" t="str">
        <x:v>Problem → official next step.</x:v>
      </x:c>
      <x:c r="J11" s="22" t="str">
        <x:v>Lower page</x:v>
      </x:c>
      <x:c r="K11" s="22" t="str">
        <x:v>Support</x:v>
      </x:c>
      <x:c r="L11" s="22" t="str">
        <x:v>L-REJECT, L-TIME</x:v>
      </x:c>
      <x:c r="M11" s="22" t="str">
        <x:v>https://www.homecredit.vn/faq/hop-dong-vay</x:v>
      </x:c>
      <x:c r="N11" s="22" t="str">
        <x:v>Current reapply/support guidance</x:v>
      </x:c>
      <x:c r="O11" s="22" t="str">
        <x:v>P1</x:v>
      </x:c>
      <x:c r="P11" s="22" t="str">
        <x:v>Required</x:v>
      </x:c>
      <x:c r="Q11" s="22" t="str">
        <x:v>Short bridge.</x:v>
      </x:c>
    </x:row>
    <x:row r="12">
      <x:c r="A12" s="22" t="str">
        <x:v>C-PILLAR</x:v>
      </x:c>
      <x:c r="B12" s="22" t="str">
        <x:v>New pillar</x:v>
      </x:c>
      <x:c r="C12" s="22" t="str">
        <x:v>SEO Title</x:v>
      </x:c>
      <x:c xmlns:x="http://schemas.openxmlformats.org/spreadsheetml/2006/main" r="D12" s="22" t="str">
        <x:v>Hướng dẫn mở thẻ tín dụng Home Credit online</x:v>
      </x:c>
      <x:c r="E12" s="22" t="str">
        <x:v>Transactional card</x:v>
      </x:c>
      <x:c r="F12" s="22" t="str">
        <x:v>Sở hữu intent mở thẻ Home Credit.</x:v>
      </x:c>
      <x:c r="G12" s="22" t="str">
        <x:v>Conditions, limits, fees/interest, online flow, billing.</x:v>
      </x:c>
      <x:c r="H12" s="22" t="str">
        <x:v>Không dùng promo cũ hết hạn trong title.</x:v>
      </x:c>
      <x:c r="I12" s="22" t="str">
        <x:v>Product → conditions → costs → lifecycle.</x:v>
      </x:c>
      <x:c r="J12" s="22" t="str">
        <x:v>SERP</x:v>
      </x:c>
      <x:c r="K12" s="22" t="str">
        <x:v>Open card</x:v>
      </x:c>
      <x:c r="L12" s="22" t="str">
        <x:v>C-NEED, C-COST, C-STATEMENT, C-CASH, C-INSTALL</x:v>
      </x:c>
      <x:c r="M12" s="22" t="str">
        <x:v>https://www.homecredit.vn/the-tin-dung-online</x:v>
      </x:c>
      <x:c r="N12" s="22" t="str">
        <x:v>Current tariff + product terms</x:v>
      </x:c>
      <x:c r="O12" s="22" t="str">
        <x:v>P0</x:v>
      </x:c>
      <x:c r="P12" s="22" t="str">
        <x:v>Publish</x:v>
      </x:c>
      <x:c xmlns:x="http://schemas.openxmlformats.org/spreadsheetml/2006/main" r="Q12" s="22" t="str">
        <x:v>Published title-only shared visual. Separate card product; approved generic App OneLink and app-level staffcode00064470; no card-attribution or approval guarantee. Current tariff04Sep2026 and TnC16Jul2026; scope card owner distinct from cash loan.</x:v>
      </x:c>
    </x:row>
    <x:row r="13">
      <x:c r="A13" s="22" t="str">
        <x:v>C-PILLAR</x:v>
      </x:c>
      <x:c r="B13" s="22" t="str">
        <x:v>New pillar</x:v>
      </x:c>
      <x:c r="C13" s="22" t="str">
        <x:v>H1</x:v>
      </x:c>
      <x:c xmlns:x="http://schemas.openxmlformats.org/spreadsheetml/2006/main" r="D13" s="22" t="str">
        <x:v>Hướng dẫn mở thẻ tín dụng Home Credit online</x:v>
      </x:c>
      <x:c r="E13" s="22" t="str">
        <x:v>Transactional + decision</x:v>
      </x:c>
      <x:c r="F13" s="22" t="str">
        <x:v>Cover both application and use.</x:v>
      </x:c>
      <x:c r="G13" s="22" t="str">
        <x:v>Eligibility, approval, limits, card variants, fees, billing, cash withdrawal.</x:v>
      </x:c>
      <x:c r="H13" s="22" t="str">
        <x:v>Không nói hạn mức chắc chắn.</x:v>
      </x:c>
      <x:c r="I13" s="22" t="str">
        <x:v>Answer + decision blocks.</x:v>
      </x:c>
      <x:c r="J13" s="22" t="str">
        <x:v>Above fold</x:v>
      </x:c>
      <x:c r="K13" s="22" t="str">
        <x:v>Primary card conversion</x:v>
      </x:c>
      <x:c r="L13" s="22" t="str">
        <x:v>B-COMPARE</x:v>
      </x:c>
      <x:c r="M13" s="22" t="str">
        <x:v>https://www.homecredit.vn/the-tin-dung-online</x:v>
      </x:c>
      <x:c r="N13" s="22" t="str">
        <x:v>Current product details</x:v>
      </x:c>
      <x:c r="O13" s="22" t="str">
        <x:v>P0</x:v>
      </x:c>
      <x:c r="P13" s="22" t="str">
        <x:v>Publish</x:v>
      </x:c>
      <x:c r="Q13" s="22" t="str">
        <x:v>Follow site's existing card article UI.</x:v>
      </x:c>
    </x:row>
    <x:row r="14">
      <x:c r="A14" s="22" t="str">
        <x:v>C-PILLAR</x:v>
      </x:c>
      <x:c r="B14" s="22" t="str">
        <x:v>New pillar</x:v>
      </x:c>
      <x:c r="C14" s="22" t="str">
        <x:v>Answer block</x:v>
      </x:c>
      <x:c xmlns:x="http://schemas.openxmlformats.org/spreadsheetml/2006/main" r="D14" s="22" t="str">
        <x:v>Bạn có thể đăng ký thẻ tín dụng qua ứng dụng Home Credit. Home Credit thẩm định hồ sơ và quyết định cấp thẻ, hạn mức. Trước khi ký, kiểm tra đúng loại thẻ, phí quản lý, lãi suất và nghĩa vụ thanh toán; miễn phí thường niên không có nghĩa mọi chi phí sử dụng đều bằng 0.</x:v>
      </x:c>
      <x:c r="E14" s="22" t="str">
        <x:v>Card intent</x:v>
      </x:c>
      <x:c r="F14" s="22" t="str">
        <x:v>Direct answer.</x:v>
      </x:c>
      <x:c r="G14" s="22" t="str">
        <x:v>Online, underwriting, cost/lifecycle.</x:v>
      </x:c>
      <x:c r="H14" s="22" t="str">
        <x:v>Không promise approval.</x:v>
      </x:c>
      <x:c r="I14" s="22" t="str">
        <x:v>2–4 sentences.</x:v>
      </x:c>
      <x:c r="J14" s="22" t="str">
        <x:v>Above fold</x:v>
      </x:c>
      <x:c r="K14" s="22" t="str">
        <x:v>Trust → card apply</x:v>
      </x:c>
      <x:c r="L14" s="22" t="str">
        <x:v>C-COST, C-STATEMENT</x:v>
      </x:c>
      <x:c r="M14" s="22" t="str">
        <x:v>https://www.homecredit.vn/the-tin-dung-online</x:v>
      </x:c>
      <x:c r="N14" s="22" t="str">
        <x:v>Current product/tariff</x:v>
      </x:c>
      <x:c r="O14" s="22" t="str">
        <x:v>P0</x:v>
      </x:c>
      <x:c r="P14" s="22" t="str">
        <x:v>Required</x:v>
      </x:c>
      <x:c r="Q14" s="22" t="str">
        <x:v>Good GEO block.</x:v>
      </x:c>
    </x:row>
    <x:row r="15">
      <x:c r="A15" s="22" t="str">
        <x:v>C-PILLAR</x:v>
      </x:c>
      <x:c r="B15" s="22" t="str">
        <x:v>New pillar</x:v>
      </x:c>
      <x:c r="C15" s="22" t="str">
        <x:v>H2</x:v>
      </x:c>
      <x:c r="D15" s="22" t="str">
        <x:v>Điều kiện mở thẻ tín dụng Home Credit</x:v>
      </x:c>
      <x:c r="E15" s="22" t="str">
        <x:v>Eligibility</x:v>
      </x:c>
      <x:c r="F15" s="22" t="str">
        <x:v>Qualification.</x:v>
      </x:c>
      <x:c r="G15" s="22" t="str">
        <x:v>20–60 current published product age; nationality/residence; valid ID; income-proof statement if current.</x:v>
      </x:c>
      <x:c r="H15" s="22" t="str">
        <x:v>Không claim approval.</x:v>
      </x:c>
      <x:c r="I15" s="22" t="str">
        <x:v>Checklist.</x:v>
      </x:c>
      <x:c r="J15" s="22" t="str">
        <x:v>Pre-CTA</x:v>
      </x:c>
      <x:c r="K15" s="22" t="str">
        <x:v>Qualified card conversion</x:v>
      </x:c>
      <x:c r="L15" s="22" t="str">
        <x:v>C-NEED</x:v>
      </x:c>
      <x:c r="M15" s="22" t="str">
        <x:v>https://www.homecredit.vn/the-tin-dung-online</x:v>
      </x:c>
      <x:c r="N15" s="22" t="str">
        <x:v>Current eligibility</x:v>
      </x:c>
      <x:c r="O15" s="22" t="str">
        <x:v>P1</x:v>
      </x:c>
      <x:c r="P15" s="22" t="str">
        <x:v>Required</x:v>
      </x:c>
      <x:c r="Q15" s="22" t="str">
        <x:v>Use current official source.</x:v>
      </x:c>
    </x:row>
    <x:row r="16">
      <x:c r="A16" s="22" t="str">
        <x:v>C-PILLAR</x:v>
      </x:c>
      <x:c r="B16" s="22" t="str">
        <x:v>New pillar</x:v>
      </x:c>
      <x:c r="C16" s="22" t="str">
        <x:v>H2</x:v>
      </x:c>
      <x:c r="D16" s="22" t="str">
        <x:v>Phí, lãi suất và hạn mức thẻ Home Credit</x:v>
      </x:c>
      <x:c r="E16" s="22" t="str">
        <x:v>Cost</x:v>
      </x:c>
      <x:c r="F16" s="22" t="str">
        <x:v>Transparency.</x:v>
      </x:c>
      <x:c r="G16" s="22" t="str">
        <x:v>Latest tariff only; card types; management fee; interest; withdrawal/installment costs.</x:v>
      </x:c>
      <x:c r="H16" s="22" t="str">
        <x:v>Không reuse old 2025/early-2026 tariff if newer exists.</x:v>
      </x:c>
      <x:c r="I16" s="22" t="str">
        <x:v>Dynamic table + checked date.</x:v>
      </x:c>
      <x:c r="J16" s="22" t="str">
        <x:v>Before how-to or after eligibility</x:v>
      </x:c>
      <x:c r="K16" s="22" t="str">
        <x:v>Informed card conversion</x:v>
      </x:c>
      <x:c r="L16" s="22" t="str">
        <x:v>C-COST, C-CASH, C-INSTALL</x:v>
      </x:c>
      <x:c r="M16" s="22" t="str">
        <x:v>https://www.homecredit.vn/tra-cuu-mau-hop-dong</x:v>
      </x:c>
      <x:c r="N16" s="22" t="str">
        <x:v>Latest effective tariff</x:v>
      </x:c>
      <x:c r="O16" s="22" t="str">
        <x:v>P0</x:v>
      </x:c>
      <x:c r="P16" s="22" t="str">
        <x:v>Required</x:v>
      </x:c>
      <x:c r="Q16" s="22" t="str">
        <x:v>High volatility.</x:v>
      </x:c>
    </x:row>
    <x:row r="17">
      <x:c r="A17" s="22" t="str">
        <x:v>C-PILLAR</x:v>
      </x:c>
      <x:c r="B17" s="22" t="str">
        <x:v>New pillar</x:v>
      </x:c>
      <x:c r="C17" s="22" t="str">
        <x:v>H2</x:v>
      </x:c>
      <x:c r="D17" s="22" t="str">
        <x:v>Cách đăng ký và nhận kết quả thẩm định</x:v>
      </x:c>
      <x:c r="E17" s="22" t="str">
        <x:v>How-to</x:v>
      </x:c>
      <x:c r="F17" s="22" t="str">
        <x:v>Task completion.</x:v>
      </x:c>
      <x:c r="G17" s="22" t="str">
        <x:v>Open official/affiliate link, submit own info, verify, receive decision.</x:v>
      </x:c>
      <x:c r="H17" s="22" t="str">
        <x:v>Không collect credentials on site.</x:v>
      </x:c>
      <x:c r="I17" s="22" t="str">
        <x:v>Steps.</x:v>
      </x:c>
      <x:c r="J17" s="22" t="str">
        <x:v>Mid-page</x:v>
      </x:c>
      <x:c r="K17" s="22" t="str">
        <x:v>Apply</x:v>
      </x:c>
      <x:c r="L17" s="22" t="str">
        <x:v>C-NEED</x:v>
      </x:c>
      <x:c r="M17" s="22" t="str">
        <x:v>https://www.homecredit.vn/the-tin-dung-online</x:v>
      </x:c>
      <x:c r="N17" s="22" t="str">
        <x:v>Current flow</x:v>
      </x:c>
      <x:c r="O17" s="22" t="str">
        <x:v>P0</x:v>
      </x:c>
      <x:c r="P17" s="22" t="str">
        <x:v>Required</x:v>
      </x:c>
      <x:c r="Q17" s="22" t="str">
        <x:v>Disclosure near CTA.</x:v>
      </x:c>
    </x:row>
    <x:row r="18">
      <x:c r="A18" s="22" t="str">
        <x:v>C-PILLAR</x:v>
      </x:c>
      <x:c r="B18" s="22" t="str">
        <x:v>New pillar</x:v>
      </x:c>
      <x:c r="C18" s="22" t="str">
        <x:v>H2</x:v>
      </x:c>
      <x:c r="D18" s="22" t="str">
        <x:v>Sau khi được cấp thẻ: kích hoạt, sao kê và thanh toán</x:v>
      </x:c>
      <x:c r="E18" s="22" t="str">
        <x:v>Lifecycle</x:v>
      </x:c>
      <x:c r="F18" s="22" t="str">
        <x:v>Connect to post-approval supports.</x:v>
      </x:c>
      <x:c r="G18" s="22" t="str">
        <x:v>Activation; statement; due date; minimum payment; full payment.</x:v>
      </x:c>
      <x:c r="H18" s="22" t="str">
        <x:v>Không encourage minimum payment as default habit.</x:v>
      </x:c>
      <x:c r="I18" s="22" t="str">
        <x:v>Lifecycle table.</x:v>
      </x:c>
      <x:c r="J18" s="22" t="str">
        <x:v>Lower page</x:v>
      </x:c>
      <x:c r="K18" s="22" t="str">
        <x:v>Retention / safety</x:v>
      </x:c>
      <x:c r="L18" s="22" t="str">
        <x:v>C-ACTIVATE, C-STATEMENT</x:v>
      </x:c>
      <x:c r="M18" s="22" t="str">
        <x:v>https://www.homecredit.vn/faq/the-tin-dung</x:v>
      </x:c>
      <x:c r="N18" s="22" t="str">
        <x:v>Current billing rules</x:v>
      </x:c>
      <x:c r="O18" s="22" t="str">
        <x:v>P1</x:v>
      </x:c>
      <x:c r="P18" s="22" t="str">
        <x:v>Required</x:v>
      </x:c>
      <x:c r="Q18" s="22" t="str">
        <x:v>Support-oriented.</x:v>
      </x:c>
    </x:row>
    <x:row r="19">
      <x:c r="A19" s="22" t="str">
        <x:v>L-RATE</x:v>
      </x:c>
      <x:c r="B19" s="22" t="str">
        <x:v>Support</x:v>
      </x:c>
      <x:c r="C19" s="22" t="str">
        <x:v>SEO Title</x:v>
      </x:c>
      <x:c r="D19" s="22" t="str">
        <x:v>Lãi suất vay tiền mặt Home Credit: Cách đọc lãi và tổng tiền phải trả</x:v>
      </x:c>
      <x:c r="E19" s="22" t="str">
        <x:v>Loan cost</x:v>
      </x:c>
      <x:c r="F19" s="22" t="str">
        <x:v>Own rate intent.</x:v>
      </x:c>
      <x:c r="G19" s="22" t="str">
        <x:v>Flat vs declining-balance, example, total payment.</x:v>
      </x:c>
      <x:c r="H19" s="22" t="str">
        <x:v>Không so sánh 0.75%/tháng với annual reducing balance as equivalent.</x:v>
      </x:c>
      <x:c r="I19" s="22" t="str">
        <x:v>Definition → example → contract check.</x:v>
      </x:c>
      <x:c r="J19" s="22" t="str">
        <x:v>SERP</x:v>
      </x:c>
      <x:c r="K19" s="22" t="str">
        <x:v>Return to loan pillar</x:v>
      </x:c>
      <x:c r="L19" s="22" t="str">
        <x:v>L-PILLAR, L-COST</x:v>
      </x:c>
      <x:c r="M19" s="22" t="str">
        <x:v>https://www.homecredit.vn/faq/vay-tien-mat</x:v>
      </x:c>
      <x:c r="N19" s="22" t="str">
        <x:v>Current rate pages + example</x:v>
      </x:c>
      <x:c r="O19" s="22" t="str">
        <x:v>P0</x:v>
      </x:c>
      <x:c r="P19" s="22" t="str">
        <x:v>Publish</x:v>
      </x:c>
      <x:c r="Q19" s="22" t="str">
        <x:v>Educational YMYL.</x:v>
      </x:c>
    </x:row>
    <x:row r="20">
      <x:c r="A20" s="22" t="str">
        <x:v>L-RATE</x:v>
      </x:c>
      <x:c r="B20" s="22" t="str">
        <x:v>Support</x:v>
      </x:c>
      <x:c r="C20" s="22" t="str">
        <x:v>Outline</x:v>
      </x:c>
      <x:c r="D20" s="22" t="str">
        <x:v>H2: Home Credit công bố lãi theo những cách nào? → H2: Lãi suất phẳng là gì? → H2: Dư nợ giảm dần là gì? → H2: Vì sao cần nhìn tổng tiền phải trả? → H2: Kiểm tra ở đâu trước khi ký?</x:v>
      </x:c>
      <x:c r="E20" s="22" t="str">
        <x:v>Cost education</x:v>
      </x:c>
      <x:c r="F20" s="22" t="str">
        <x:v>Prevent misleading rate interpretation.</x:v>
      </x:c>
      <x:c r="G20" s="22" t="str">
        <x:v>Source dates and examples.</x:v>
      </x:c>
      <x:c r="H20" s="22" t="str">
        <x:v>Không tự calculate without source/formula.</x:v>
      </x:c>
      <x:c r="I20" s="22" t="str">
        <x:v>Concept → source → decision.</x:v>
      </x:c>
      <x:c r="J20" s="22" t="str">
        <x:v>End</x:v>
      </x:c>
      <x:c r="K20" s="22" t="str">
        <x:v>Informed apply</x:v>
      </x:c>
      <x:c r="L20" s="22" t="str">
        <x:v>L-PILLAR</x:v>
      </x:c>
      <x:c r="M20" s="22" t="str">
        <x:v>https://www.homecredit.vn/faq/vay-tien-mat</x:v>
      </x:c>
      <x:c r="N20" s="22" t="str">
        <x:v>Current rate convention</x:v>
      </x:c>
      <x:c r="O20" s="22" t="str">
        <x:v>P0</x:v>
      </x:c>
      <x:c r="P20" s="22" t="str">
        <x:v>Publish</x:v>
      </x:c>
      <x:c r="Q20" s="22" t="str">
        <x:v>Strong GEO utility.</x:v>
      </x:c>
    </x:row>
    <x:row r="21">
      <x:c r="A21" s="22" t="str">
        <x:v>L-REJECT</x:v>
      </x:c>
      <x:c r="B21" s="22" t="str">
        <x:v>Support</x:v>
      </x:c>
      <x:c r="C21" s="22" t="str">
        <x:v>SEO Title</x:v>
      </x:c>
      <x:c r="D21" s="22" t="str">
        <x:v>Hồ sơ vay Home Credit bị từ chối: Vì sao và khi nào có thể đăng ký lại?</x:v>
      </x:c>
      <x:c r="E21" s="22" t="str">
        <x:v>Troubleshooting</x:v>
      </x:c>
      <x:c r="F21" s="22" t="str">
        <x:v>Own rejection intent.</x:v>
      </x:c>
      <x:c r="G21" s="22" t="str">
        <x:v>Automated assessment factors; official next steps; reapply timing depends current guidance.</x:v>
      </x:c>
      <x:c r="H21" s="22" t="str">
        <x:v>Không offer 'tips to bypass CIC/scoring'.</x:v>
      </x:c>
      <x:c r="I21" s="22" t="str">
        <x:v>Reason categories → official next action.</x:v>
      </x:c>
      <x:c r="J21" s="22" t="str">
        <x:v>SERP</x:v>
      </x:c>
      <x:c r="K21" s="22" t="str">
        <x:v>Support / later return</x:v>
      </x:c>
      <x:c r="L21" s="22" t="str">
        <x:v>L-PILLAR</x:v>
      </x:c>
      <x:c r="M21" s="22" t="str">
        <x:v>https://www.homecredit.vn/faq/hop-dong-vay</x:v>
      </x:c>
      <x:c r="N21" s="22" t="str">
        <x:v>Current reapply guidance</x:v>
      </x:c>
      <x:c r="O21" s="22" t="str">
        <x:v>P0</x:v>
      </x:c>
      <x:c r="P21" s="22" t="str">
        <x:v>Publish</x:v>
      </x:c>
      <x:c r="Q21" s="22" t="str">
        <x:v>Safe, factual.</x:v>
      </x:c>
    </x:row>
    <x:row r="22">
      <x:c r="A22" s="22" t="str">
        <x:v>L-COST</x:v>
      </x:c>
      <x:c r="B22" s="22" t="str">
        <x:v>Support</x:v>
      </x:c>
      <x:c r="C22" s="22" t="str">
        <x:v>SEO Title</x:v>
      </x:c>
      <x:c r="D22" s="22" t="str">
        <x:v>Vay Home Credit có phí gì? Bảo hiểm và tất toán trước hạn cần kiểm tra</x:v>
      </x:c>
      <x:c r="E22" s="22" t="str">
        <x:v>Cost</x:v>
      </x:c>
      <x:c r="F22" s="22" t="str">
        <x:v>Own fees intent.</x:v>
      </x:c>
      <x:c r="G22" s="22" t="str">
        <x:v>Optional insurance; transfer fee; early-repayment fee if applicable; total cost.</x:v>
      </x:c>
      <x:c r="H22" s="22" t="str">
        <x:v>Không say all fees apply to everyone.</x:v>
      </x:c>
      <x:c r="I22" s="22" t="str">
        <x:v>Fee type → when it applies → where to verify.</x:v>
      </x:c>
      <x:c r="J22" s="22" t="str">
        <x:v>SERP</x:v>
      </x:c>
      <x:c r="K22" s="22" t="str">
        <x:v>Informed apply</x:v>
      </x:c>
      <x:c r="L22" s="22" t="str">
        <x:v>L-PILLAR, L-RATE</x:v>
      </x:c>
      <x:c r="M22" s="22" t="str">
        <x:v>https://dangky.homecredit.vn/vay-tien</x:v>
      </x:c>
      <x:c r="N22" s="22" t="str">
        <x:v>Latest contract/fee docs</x:v>
      </x:c>
      <x:c r="O22" s="22" t="str">
        <x:v>P0</x:v>
      </x:c>
      <x:c r="P22" s="22" t="str">
        <x:v>Publish</x:v>
      </x:c>
      <x:c r="Q22" s="22" t="str">
        <x:v>High-value trust content.</x:v>
      </x:c>
    </x:row>
    <x:row r="23">
      <x:c r="A23" s="22" t="str">
        <x:v>L-NEED</x:v>
      </x:c>
      <x:c r="B23" s="22" t="str">
        <x:v>Support</x:v>
      </x:c>
      <x:c r="C23" s="22" t="str">
        <x:v>SEO Title</x:v>
      </x:c>
      <x:c r="D23" s="22" t="str">
        <x:v>Vay Home Credit cần gì? Điều kiện, CCCD và hồ sơ cần chuẩn bị</x:v>
      </x:c>
      <x:c r="E23" s="22" t="str">
        <x:v>Eligibility</x:v>
      </x:c>
      <x:c r="F23" s="22" t="str">
        <x:v>Own preparation intent.</x:v>
      </x:c>
      <x:c r="G23" s="22" t="str">
        <x:v>Age; ID; possible extra salary statement for higher amount; exact info.</x:v>
      </x:c>
      <x:c r="H23" s="22" t="str">
        <x:v>Không imply docs guarantee approval.</x:v>
      </x:c>
      <x:c r="I23" s="22" t="str">
        <x:v>Checklist.</x:v>
      </x:c>
      <x:c r="J23" s="22" t="str">
        <x:v>SERP</x:v>
      </x:c>
      <x:c r="K23" s="22" t="str">
        <x:v>Qualified apply</x:v>
      </x:c>
      <x:c r="L23" s="22" t="str">
        <x:v>L-PILLAR</x:v>
      </x:c>
      <x:c r="M23" s="22" t="str">
        <x:v>https://www.homecredit.vn/blog/cap-nhat-hop-dong-cho-vay-tien-mat</x:v>
      </x:c>
      <x:c r="N23" s="22" t="str">
        <x:v>Current criteria</x:v>
      </x:c>
      <x:c r="O23" s="22" t="str">
        <x:v>P1</x:v>
      </x:c>
      <x:c r="P23" s="22" t="str">
        <x:v>Publish</x:v>
      </x:c>
      <x:c r="Q23" s="22" t="str">
        <x:v>Qualification.</x:v>
      </x:c>
    </x:row>
    <x:row r="24">
      <x:c r="A24" s="22" t="str">
        <x:v>L-TIME</x:v>
      </x:c>
      <x:c r="B24" s="22" t="str">
        <x:v>Support</x:v>
      </x:c>
      <x:c r="C24" s="22" t="str">
        <x:v>SEO Title</x:v>
      </x:c>
      <x:c r="D24" s="22" t="str">
        <x:v>Home Credit duyệt hồ sơ và giải ngân bao lâu?</x:v>
      </x:c>
      <x:c r="E24" s="22" t="str">
        <x:v>Timing</x:v>
      </x:c>
      <x:c r="F24" s="22" t="str">
        <x:v>Own timing question if SERP distinct.</x:v>
      </x:c>
      <x:c r="G24" s="22" t="str">
        <x:v>Official advertised time + factors that can delay.</x:v>
      </x:c>
      <x:c r="H24" s="22" t="str">
        <x:v>Không guarantee 3/10 minutes universally.</x:v>
      </x:c>
      <x:c r="I24" s="22" t="str">
        <x:v>Advertised time → caveat → status check.</x:v>
      </x:c>
      <x:c r="J24" s="22" t="str">
        <x:v>SERP</x:v>
      </x:c>
      <x:c r="K24" s="22" t="str">
        <x:v>Apply / support</x:v>
      </x:c>
      <x:c r="L24" s="22" t="str">
        <x:v>L-PILLAR, L-REJECT</x:v>
      </x:c>
      <x:c r="M24" s="22" t="str">
        <x:v>https://dangky.homecredit.vn/vay-tien</x:v>
      </x:c>
      <x:c r="N24" s="22" t="str">
        <x:v>Current service claims</x:v>
      </x:c>
      <x:c r="O24" s="22" t="str">
        <x:v>P1</x:v>
      </x:c>
      <x:c r="P24" s="22" t="str">
        <x:v>Conditional</x:v>
      </x:c>
      <x:c r="Q24" s="22" t="str">
        <x:v>Could remain FAQ if thin.</x:v>
      </x:c>
    </x:row>
    <x:row r="25">
      <x:c r="A25" s="22" t="str">
        <x:v>L-PAY</x:v>
      </x:c>
      <x:c r="B25" s="22" t="str">
        <x:v>Support</x:v>
      </x:c>
      <x:c r="C25" s="22" t="str">
        <x:v>SEO Title</x:v>
      </x:c>
      <x:c r="D25" s="22" t="str">
        <x:v>Cách thanh toán khoản vay Home Credit và kiểm tra số tiền đến hạn</x:v>
      </x:c>
      <x:c r="E25" s="22" t="str">
        <x:v>Servicing</x:v>
      </x:c>
      <x:c r="F25" s="22" t="str">
        <x:v>Own payment intent.</x:v>
      </x:c>
      <x:c r="G25" s="22" t="str">
        <x:v>App, supported payment methods, contract management, overdue handling.</x:v>
      </x:c>
      <x:c r="H25" s="22" t="str">
        <x:v>Không encourage late payment.</x:v>
      </x:c>
      <x:c r="I25" s="22" t="str">
        <x:v>How-to → verify result → support.</x:v>
      </x:c>
      <x:c r="J25" s="22" t="str">
        <x:v>SERP</x:v>
      </x:c>
      <x:c r="K25" s="22" t="str">
        <x:v>Support only</x:v>
      </x:c>
      <x:c r="L25" s="22" t="str">
        <x:v>L-PILLAR</x:v>
      </x:c>
      <x:c r="M25" s="22" t="str">
        <x:v>https://www.homecredit.vn/faq/ung-dung-home-credit</x:v>
      </x:c>
      <x:c r="N25" s="22" t="str">
        <x:v>Current payment channels</x:v>
      </x:c>
      <x:c r="O25" s="22" t="str">
        <x:v>P1</x:v>
      </x:c>
      <x:c r="P25" s="22" t="str">
        <x:v>Publish</x:v>
      </x:c>
      <x:c r="Q25" s="22" t="str">
        <x:v>Post-action, low affiliate pressure.</x:v>
      </x:c>
    </x:row>
    <x:row r="26">
      <x:c r="A26" s="22" t="str">
        <x:v>C-NEED</x:v>
      </x:c>
      <x:c r="B26" s="22" t="str">
        <x:v>Support</x:v>
      </x:c>
      <x:c r="C26" s="22" t="str">
        <x:v>SEO Title</x:v>
      </x:c>
      <x:c r="D26" s="22" t="str">
        <x:v>Điều kiện mở thẻ tín dụng Home Credit: Tuổi, CCCD và hồ sơ</x:v>
      </x:c>
      <x:c r="E26" s="22" t="str">
        <x:v>Eligibility</x:v>
      </x:c>
      <x:c r="F26" s="22" t="str">
        <x:v>Own qualification intent.</x:v>
      </x:c>
      <x:c r="G26" s="22" t="str">
        <x:v>Published 20–60; ID; residency; no proof-of-income claim if still current; underwriting.</x:v>
      </x:c>
      <x:c r="H26" s="22" t="str">
        <x:v>Không say 'ai cũng mở được'.</x:v>
      </x:c>
      <x:c r="I26" s="22" t="str">
        <x:v>Checklist + approval caveat.</x:v>
      </x:c>
      <x:c r="J26" s="22" t="str">
        <x:v>SERP</x:v>
      </x:c>
      <x:c r="K26" s="22" t="str">
        <x:v>Qualified card apply</x:v>
      </x:c>
      <x:c r="L26" s="22" t="str">
        <x:v>C-PILLAR</x:v>
      </x:c>
      <x:c r="M26" s="22" t="str">
        <x:v>https://www.homecredit.vn/the-tin-dung-online</x:v>
      </x:c>
      <x:c r="N26" s="22" t="str">
        <x:v>Current eligibility</x:v>
      </x:c>
      <x:c r="O26" s="22" t="str">
        <x:v>P1</x:v>
      </x:c>
      <x:c r="P26" s="22" t="str">
        <x:v>Publish</x:v>
      </x:c>
      <x:c r="Q26" s="22" t="str">
        <x:v>Strong pre-action.</x:v>
      </x:c>
    </x:row>
    <x:row r="27">
      <x:c r="A27" s="22" t="str">
        <x:v>C-COST</x:v>
      </x:c>
      <x:c r="B27" s="22" t="str">
        <x:v>Support</x:v>
      </x:c>
      <x:c r="C27" s="22" t="str">
        <x:v>SEO Title</x:v>
      </x:c>
      <x:c r="D27" s="22" t="str">
        <x:v>Phí và lãi suất thẻ tín dụng Home Credit: Cách đọc biểu phí hiện hành</x:v>
      </x:c>
      <x:c r="E27" s="22" t="str">
        <x:v>Card cost</x:v>
      </x:c>
      <x:c r="F27" s="22" t="str">
        <x:v>Own cost intent.</x:v>
      </x:c>
      <x:c r="G27" s="22" t="str">
        <x:v>Latest tariff date; management fee; interest; withdrawal/installment/late-payment costs by card type.</x:v>
      </x:c>
      <x:c r="H27" s="22" t="str">
        <x:v>Không hardcode older tariff without latest check.</x:v>
      </x:c>
      <x:c r="I27" s="22" t="str">
        <x:v>Fee table + effective date.</x:v>
      </x:c>
      <x:c r="J27" s="22" t="str">
        <x:v>SERP</x:v>
      </x:c>
      <x:c r="K27" s="22" t="str">
        <x:v>Informed card apply</x:v>
      </x:c>
      <x:c r="L27" s="22" t="str">
        <x:v>C-PILLAR, C-CASH, C-INSTALL</x:v>
      </x:c>
      <x:c r="M27" s="22" t="str">
        <x:v>https://www.homecredit.vn/tra-cuu-mau-hop-dong</x:v>
      </x:c>
      <x:c r="N27" s="22" t="str">
        <x:v>Latest 04/09/2026 tariff linked on lookup page</x:v>
      </x:c>
      <x:c r="O27" s="22" t="str">
        <x:v>P0</x:v>
      </x:c>
      <x:c r="P27" s="22" t="str">
        <x:v>Publish</x:v>
      </x:c>
      <x:c r="Q27" s="22" t="str">
        <x:v>Dynamic/high-volatility.</x:v>
      </x:c>
    </x:row>
    <x:row r="28">
      <x:c r="A28" s="22" t="str">
        <x:v>C-STATEMENT</x:v>
      </x:c>
      <x:c r="B28" s="22" t="str">
        <x:v>Support</x:v>
      </x:c>
      <x:c r="C28" s="22" t="str">
        <x:v>SEO Title</x:v>
      </x:c>
      <x:c r="D28" s="22" t="str">
        <x:v>Sao kê, ngày đến hạn và thanh toán tối thiểu thẻ Home Credit</x:v>
      </x:c>
      <x:c r="E28" s="22" t="str">
        <x:v>Billing</x:v>
      </x:c>
      <x:c r="F28" s="22" t="str">
        <x:v>Own servicing intent.</x:v>
      </x:c>
      <x:c r="G28" s="22" t="str">
        <x:v>Statement, due date, minimum payment formula/current values, full-payment implications.</x:v>
      </x:c>
      <x:c r="H28" s="22" t="str">
        <x:v>Không present minimum payment as cost-free.</x:v>
      </x:c>
      <x:c r="I28" s="22" t="str">
        <x:v>Term → current rule → example-free unless verified.</x:v>
      </x:c>
      <x:c r="J28" s="22" t="str">
        <x:v>SERP</x:v>
      </x:c>
      <x:c r="K28" s="22" t="str">
        <x:v>Support</x:v>
      </x:c>
      <x:c r="L28" s="22" t="str">
        <x:v>C-PILLAR</x:v>
      </x:c>
      <x:c r="M28" s="22" t="str">
        <x:v>https://www.homecredit.vn/faq/the-tin-dung</x:v>
      </x:c>
      <x:c r="N28" s="22" t="str">
        <x:v>Current minimum payment + due date</x:v>
      </x:c>
      <x:c r="O28" s="22" t="str">
        <x:v>P1</x:v>
      </x:c>
      <x:c r="P28" s="22" t="str">
        <x:v>Publish</x:v>
      </x:c>
      <x:c r="Q28" s="22" t="str">
        <x:v>Post-approval trust.</x:v>
      </x:c>
    </x:row>
    <x:row r="29">
      <x:c r="A29" s="22" t="str">
        <x:v>C-ACTIVATE</x:v>
      </x:c>
      <x:c r="B29" s="22" t="str">
        <x:v>Support</x:v>
      </x:c>
      <x:c r="C29" s="22" t="str">
        <x:v>SEO Title</x:v>
      </x:c>
      <x:c r="D29" s="22" t="str">
        <x:v>Cách kích hoạt thẻ tín dụng Home Credit trên ứng dụng hoặc hotline</x:v>
      </x:c>
      <x:c r="E29" s="22" t="str">
        <x:v>Activation</x:v>
      </x:c>
      <x:c r="F29" s="22" t="str">
        <x:v>Own activation intent if sufficient.</x:v>
      </x:c>
      <x:c r="G29" s="22" t="str">
        <x:v>Current app/hotline steps; use registered phone.</x:v>
      </x:c>
      <x:c r="H29" s="22" t="str">
        <x:v>Không request OTP/PIN on site.</x:v>
      </x:c>
      <x:c r="I29" s="22" t="str">
        <x:v>Method → steps → support.</x:v>
      </x:c>
      <x:c r="J29" s="22" t="str">
        <x:v>SERP</x:v>
      </x:c>
      <x:c r="K29" s="22" t="str">
        <x:v>Support</x:v>
      </x:c>
      <x:c r="L29" s="22" t="str">
        <x:v>C-PILLAR</x:v>
      </x:c>
      <x:c r="M29" s="22" t="str">
        <x:v>https://www.homecredit.vn/faq/the-tin-dung</x:v>
      </x:c>
      <x:c r="N29" s="22" t="str">
        <x:v>Current activation methods</x:v>
      </x:c>
      <x:c r="O29" s="22" t="str">
        <x:v>P1</x:v>
      </x:c>
      <x:c r="P29" s="22" t="str">
        <x:v>Conditional</x:v>
      </x:c>
      <x:c r="Q29" s="22" t="str">
        <x:v>Could be section.</x:v>
      </x:c>
    </x:row>
    <x:row r="30">
      <x:c r="A30" s="22" t="str">
        <x:v>C-CASH</x:v>
      </x:c>
      <x:c r="B30" s="22" t="str">
        <x:v>Support</x:v>
      </x:c>
      <x:c r="C30" s="22" t="str">
        <x:v>SEO Title</x:v>
      </x:c>
      <x:c r="D30" s="22" t="str">
        <x:v>Rút tiền mặt từ thẻ tín dụng Home Credit: Phí, lãi và hạn mức cần biết</x:v>
      </x:c>
      <x:c r="E30" s="22" t="str">
        <x:v>Cash advance</x:v>
      </x:c>
      <x:c r="F30" s="22" t="str">
        <x:v>Own high-cost intent.</x:v>
      </x:c>
      <x:c r="G30" s="22" t="str">
        <x:v>ATM eligibility; latest fee by card type; interest starts immediately if current; PIN.</x:v>
      </x:c>
      <x:c r="H30" s="22" t="str">
        <x:v>Không frame as cheap borrowing substitute.</x:v>
      </x:c>
      <x:c r="I30" s="22" t="str">
        <x:v>Cost-first answer.</x:v>
      </x:c>
      <x:c r="J30" s="22" t="str">
        <x:v>SERP</x:v>
      </x:c>
      <x:c r="K30" s="22" t="str">
        <x:v>Support / product education</x:v>
      </x:c>
      <x:c r="L30" s="22" t="str">
        <x:v>C-PILLAR, B-COMPARE</x:v>
      </x:c>
      <x:c r="M30" s="22" t="str">
        <x:v>https://www.homecredit.vn/faq/the-tin-dung</x:v>
      </x:c>
      <x:c r="N30" s="22" t="str">
        <x:v>Latest tariff + card type rules</x:v>
      </x:c>
      <x:c r="O30" s="22" t="str">
        <x:v>P0</x:v>
      </x:c>
      <x:c r="P30" s="22" t="str">
        <x:v>Publish</x:v>
      </x:c>
      <x:c r="Q30" s="22" t="str">
        <x:v>High-value safety.</x:v>
      </x:c>
    </x:row>
    <x:row r="31">
      <x:c r="A31" s="22" t="str">
        <x:v>C-INSTALL</x:v>
      </x:c>
      <x:c r="B31" s="22" t="str">
        <x:v>Support</x:v>
      </x:c>
      <x:c r="C31" s="22" t="str">
        <x:v>SEO Title</x:v>
      </x:c>
      <x:c r="D31" s="22" t="str">
        <x:v>Trả góp thẻ tín dụng Home Credit: Điều kiện, phí và kỳ hạn</x:v>
      </x:c>
      <x:c r="E31" s="22" t="str">
        <x:v>Installment</x:v>
      </x:c>
      <x:c r="F31" s="22" t="str">
        <x:v>Own installment intent.</x:v>
      </x:c>
      <x:c r="G31" s="22" t="str">
        <x:v>Latest Sep 2026 terms; eligible transaction types; fees/rates; cancellation if relevant.</x:v>
      </x:c>
      <x:c r="H31" s="22" t="str">
        <x:v>Không reuse old 0% wording without current terms.</x:v>
      </x:c>
      <x:c r="I31" s="22" t="str">
        <x:v>Eligibility → cost → steps → source.</x:v>
      </x:c>
      <x:c r="J31" s="22" t="str">
        <x:v>SERP</x:v>
      </x:c>
      <x:c r="K31" s="22" t="str">
        <x:v>Support</x:v>
      </x:c>
      <x:c r="L31" s="22" t="str">
        <x:v>C-PILLAR, C-COST</x:v>
      </x:c>
      <x:c r="M31" s="22" t="str">
        <x:v>https://www.homecredit.vn/tra-cuu-mau-hop-dong</x:v>
      </x:c>
      <x:c r="N31" s="22" t="str">
        <x:v>Latest installment terms effective 04/09/2026</x:v>
      </x:c>
      <x:c r="O31" s="22" t="str">
        <x:v>P0</x:v>
      </x:c>
      <x:c r="P31" s="22" t="str">
        <x:v>Publish</x:v>
      </x:c>
      <x:c r="Q31" s="22" t="str">
        <x:v>Very volatile.</x:v>
      </x:c>
    </x:row>
    <x:row r="32">
      <x:c r="A32" s="22" t="str">
        <x:v>B-COMPARE</x:v>
      </x:c>
      <x:c r="B32" s="22" t="str">
        <x:v>Bridge</x:v>
      </x:c>
      <x:c r="C32" s="22" t="str">
        <x:v>SEO Title</x:v>
      </x:c>
      <x:c r="D32" s="22" t="str">
        <x:v>Vay tiền mặt hay thẻ tín dụng Home Credit khác nhau thế nào?</x:v>
      </x:c>
      <x:c r="E32" s="22" t="str">
        <x:v>Clarification</x:v>
      </x:c>
      <x:c r="F32" s="22" t="str">
        <x:v>Route user to right product.</x:v>
      </x:c>
      <x:c r="G32" s="22" t="str">
        <x:v>Cash loan = fixed contract/repayment; card = revolving credit/billing; cost structure; cash withdrawal differs.</x:v>
      </x:c>
      <x:c r="H32" s="22" t="str">
        <x:v>Không tell user what they 'should' borrow based on personal profile.</x:v>
      </x:c>
      <x:c r="I32" s="22" t="str">
        <x:v>Feature comparison → owner links.</x:v>
      </x:c>
      <x:c r="J32" s="22" t="str">
        <x:v>SERP</x:v>
      </x:c>
      <x:c r="K32" s="22" t="str">
        <x:v>Route to correct pillar</x:v>
      </x:c>
      <x:c r="L32" s="22" t="str">
        <x:v>L-PILLAR, C-PILLAR, C-CASH</x:v>
      </x:c>
      <x:c r="M32" s="22" t="str">
        <x:v>https://www.homecredit.vn/</x:v>
      </x:c>
      <x:c r="N32" s="22" t="str">
        <x:v>Current product definitions</x:v>
      </x:c>
      <x:c r="O32" s="22" t="str">
        <x:v>P1</x:v>
      </x:c>
      <x:c r="P32" s="22" t="str">
        <x:v>Publish</x:v>
      </x:c>
      <x:c r="Q32" s="22" t="str">
        <x:v>Neutral comparison.</x:v>
      </x:c>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be52a11785d947f0"/>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HOME CREDIT – AFFILIATE CTA MATRIX</x:v>
      </x:c>
      <x:c r="B1" s="28"/>
      <x:c r="C1" s="28"/>
      <x:c r="D1" s="28"/>
      <x:c r="E1" s="28"/>
      <x:c r="F1" s="28"/>
      <x:c r="G1" s="28"/>
      <x:c r="H1" s="28"/>
      <x:c r="I1" s="28"/>
      <x:c r="J1" s="28"/>
      <x:c r="K1" s="28"/>
      <x:c r="L1" s="28"/>
      <x:c r="M1" s="28"/>
    </x:row>
    <x:row r="2">
      <x:c r="A2" s="12" t="str">
        <x:v>Affiliate CTA phải theo intent. Product pillars có CTA mạnh; cost/troubleshooting/servicing pages ưu tiên trả lời trước, rồi mới điều hướng.</x:v>
      </x:c>
      <x:c r="B2" s="12"/>
      <x:c r="C2" s="12"/>
      <x:c r="D2" s="12"/>
      <x:c r="E2" s="12"/>
      <x:c r="F2" s="12"/>
      <x:c r="G2" s="12"/>
      <x:c r="H2" s="12"/>
      <x:c r="I2" s="12"/>
      <x:c r="J2" s="12"/>
      <x:c r="K2" s="12"/>
      <x:c r="L2" s="12"/>
      <x:c r="M2" s="12"/>
    </x:row>
    <x:row r="4">
      <x:c r="A4" s="20" t="str">
        <x:v>Asset ID</x:v>
      </x:c>
      <x:c r="B4" s="20" t="str">
        <x:v>Intent temperature</x:v>
      </x:c>
      <x:c r="C4" s="20" t="str">
        <x:v>Primary CTA</x:v>
      </x:c>
      <x:c r="D4" s="20" t="str">
        <x:v>Secondary CTA</x:v>
      </x:c>
      <x:c r="E4" s="20" t="str">
        <x:v>Affiliate-link visibility</x:v>
      </x:c>
      <x:c r="F4" s="20" t="str">
        <x:v>Disclosure position</x:v>
      </x:c>
      <x:c r="G4" s="20" t="str">
        <x:v>Placement 1</x:v>
      </x:c>
      <x:c r="H4" s="20" t="str">
        <x:v>Placement 2</x:v>
      </x:c>
      <x:c r="I4" s="20" t="str">
        <x:v>Avoid</x:v>
      </x:c>
      <x:c r="J4" s="20" t="str">
        <x:v>Tracking event</x:v>
      </x:c>
      <x:c r="K4" s="20" t="str">
        <x:v>Conversion KPI</x:v>
      </x:c>
      <x:c r="L4" s="20" t="str">
        <x:v>Trust note</x:v>
      </x:c>
      <x:c r="M4" s="20" t="str">
        <x:v>Priority</x:v>
      </x:c>
    </x:row>
    <x:row r="5">
      <x:c r="A5" s="22" t="str">
        <x:v>L-PILLAR</x:v>
      </x:c>
      <x:c r="B5" s="22" t="str">
        <x:v>Hot</x:v>
      </x:c>
      <x:c xmlns:x="http://schemas.openxmlformats.org/spreadsheetml/2006/main" r="C5" s="22" t="str">
        <x:v>Tải ứng dụng Home Credit</x:v>
      </x:c>
      <x:c r="D5" s="22" t="str">
        <x:v>Xem điều kiện và chi phí trước</x:v>
      </x:c>
      <x:c r="E5" s="22" t="str">
        <x:v>High</x:v>
      </x:c>
      <x:c r="F5" s="22" t="str">
        <x:v>Ngay gần CTA đầu</x:v>
      </x:c>
      <x:c r="G5" s="22" t="str">
        <x:v>After answer block</x:v>
      </x:c>
      <x:c r="H5" s="22" t="str">
        <x:v>After cost/process</x:v>
      </x:c>
      <x:c r="I5" s="22" t="str">
        <x:v>Không hứa duyệt/hạn mức</x:v>
      </x:c>
      <x:c xmlns:x="http://schemas.openxmlformats.org/spreadsheetml/2006/main" r="J5" s="22" t="str">
        <x:v>affiliate_click; referral_code_copy (existing consent-aware events)</x:v>
      </x:c>
      <x:c r="K5" s="22" t="str">
        <x:v>Outbound CTR / approved conversion if available</x:v>
      </x:c>
      <x:c r="L5" s="22" t="str">
        <x:v>1 Phút Đăng Ký không thẩm định hoặc cấp vay.</x:v>
      </x:c>
      <x:c r="M5" s="22" t="str">
        <x:v>P0</x:v>
      </x:c>
    </x:row>
    <x:row r="6">
      <x:c r="A6" s="22" t="str">
        <x:v>C-PILLAR</x:v>
      </x:c>
      <x:c r="B6" s="22" t="str">
        <x:v>Hot</x:v>
      </x:c>
      <x:c xmlns:x="http://schemas.openxmlformats.org/spreadsheetml/2006/main" r="C6" s="22" t="str">
        <x:v>Tải ứng dụng Home Credit</x:v>
      </x:c>
      <x:c xmlns:x="http://schemas.openxmlformats.org/spreadsheetml/2006/main" r="D6" s="22" t="str">
        <x:v>Mục lục: Phí và lãi cần đọc trước khi ký</x:v>
      </x:c>
      <x:c r="E6" s="22" t="str">
        <x:v>High</x:v>
      </x:c>
      <x:c r="F6" s="22" t="str">
        <x:v>Ngay gần CTA đầu</x:v>
      </x:c>
      <x:c r="G6" s="22" t="str">
        <x:v>After answer block</x:v>
      </x:c>
      <x:c r="H6" s="22" t="str">
        <x:v>After eligibility/cost</x:v>
      </x:c>
      <x:c r="I6" s="22" t="str">
        <x:v>Không hứa hạn mức/approval</x:v>
      </x:c>
      <x:c xmlns:x="http://schemas.openxmlformats.org/spreadsheetml/2006/main" r="J6" s="22" t="str">
        <x:v>affiliate_click; referral_code_copy (existing consent-aware events, separate credit-card product ID)</x:v>
      </x:c>
      <x:c r="K6" s="22" t="str">
        <x:v>Outbound CTR / card conversion</x:v>
      </x:c>
      <x:c r="L6" s="22" t="str">
        <x:v>Home Credit quyết định phê duyệt.</x:v>
      </x:c>
      <x:c r="M6" s="22" t="str">
        <x:v>P0</x:v>
      </x:c>
    </x:row>
    <x:row r="7">
      <x:c r="A7" s="22" t="str">
        <x:v>L-RATE</x:v>
      </x:c>
      <x:c r="B7" s="22" t="str">
        <x:v>Warm-hot</x:v>
      </x:c>
      <x:c r="C7" s="22" t="str">
        <x:v>Xem khoản vay hiện Home Credit đang đề nghị</x:v>
      </x:c>
      <x:c r="D7" s="22" t="str">
        <x:v>Quay lại hướng dẫn vay</x:v>
      </x:c>
      <x:c r="E7" s="22" t="str">
        <x:v>Medium</x:v>
      </x:c>
      <x:c r="F7" s="22" t="str">
        <x:v>Near CTA</x:v>
      </x:c>
      <x:c r="G7" s="22" t="str">
        <x:v>After cost explanation</x:v>
      </x:c>
      <x:c r="H7" s="22" t="str">
        <x:v>End</x:v>
      </x:c>
      <x:c r="I7" s="22" t="str">
        <x:v>Không đặt CTA trước khi giải thích rate conventions</x:v>
      </x:c>
      <x:c r="J7" s="22" t="str">
        <x:v>rate_to_loan</x:v>
      </x:c>
      <x:c r="K7" s="22" t="str">
        <x:v>Qualified outbound</x:v>
      </x:c>
      <x:c r="L7" s="22" t="str">
        <x:v>Education-first.</x:v>
      </x:c>
      <x:c r="M7" s="22" t="str">
        <x:v>P0</x:v>
      </x:c>
    </x:row>
    <x:row r="8">
      <x:c r="A8" s="22" t="str">
        <x:v>L-REJECT</x:v>
      </x:c>
      <x:c r="B8" s="22" t="str">
        <x:v>Problem</x:v>
      </x:c>
      <x:c r="C8" s="22" t="str">
        <x:v>Liên hệ/kiểm thông báo Home Credit nếu cần</x:v>
      </x:c>
      <x:c r="D8" s="22" t="str">
        <x:v>Quay lại loan pillar khi phù hợp</x:v>
      </x:c>
      <x:c r="E8" s="22" t="str">
        <x:v>Low</x:v>
      </x:c>
      <x:c r="F8" s="22" t="str">
        <x:v>Near any affiliate CTA</x:v>
      </x:c>
      <x:c r="G8" s="22" t="str">
        <x:v>After direct answer</x:v>
      </x:c>
      <x:c r="H8" s="22" t="str">
        <x:v>End</x:v>
      </x:c>
      <x:c r="I8" s="22" t="str">
        <x:v>Không khuyến khích nộp lại liên tục/lách thẩm định</x:v>
      </x:c>
      <x:c r="J8" s="22" t="str">
        <x:v>reject_support; reject_to_loan</x:v>
      </x:c>
      <x:c r="K8" s="22" t="str">
        <x:v>Support exit / assisted click</x:v>
      </x:c>
      <x:c r="L8" s="22" t="str">
        <x:v>Problem-first.</x:v>
      </x:c>
      <x:c r="M8" s="22" t="str">
        <x:v>P0</x:v>
      </x:c>
    </x:row>
    <x:row r="9">
      <x:c r="A9" s="22" t="str">
        <x:v>L-COST</x:v>
      </x:c>
      <x:c r="B9" s="22" t="str">
        <x:v>Warm-hot</x:v>
      </x:c>
      <x:c r="C9" s="22" t="str">
        <x:v>Xem đề nghị/hợp đồng Home Credit hiện hành</x:v>
      </x:c>
      <x:c r="D9" s="22" t="str">
        <x:v>Quay lại loan pillar</x:v>
      </x:c>
      <x:c r="E9" s="22" t="str">
        <x:v>Medium</x:v>
      </x:c>
      <x:c r="F9" s="22" t="str">
        <x:v>Near CTA</x:v>
      </x:c>
      <x:c r="G9" s="22" t="str">
        <x:v>After fee table</x:v>
      </x:c>
      <x:c r="H9" s="22" t="str">
        <x:v>End</x:v>
      </x:c>
      <x:c r="I9" s="22" t="str">
        <x:v>Không giấu bảo hiểm/phí</x:v>
      </x:c>
      <x:c r="J9" s="22" t="str">
        <x:v>cost_to_loan</x:v>
      </x:c>
      <x:c r="K9" s="22" t="str">
        <x:v>Qualified outbound</x:v>
      </x:c>
      <x:c r="L9" s="22" t="str">
        <x:v>Cost transparency.</x:v>
      </x:c>
      <x:c r="M9" s="22" t="str">
        <x:v>P0</x:v>
      </x:c>
    </x:row>
    <x:row r="10">
      <x:c r="A10" s="22" t="str">
        <x:v>L-NEED</x:v>
      </x:c>
      <x:c r="B10" s="22" t="str">
        <x:v>Warm</x:v>
      </x:c>
      <x:c r="C10" s="22" t="str">
        <x:v>Bắt đầu đăng ký nếu đáp ứng điều kiện cơ bản</x:v>
      </x:c>
      <x:c r="D10" s="22" t="str">
        <x:v>Xem chi phí</x:v>
      </x:c>
      <x:c r="E10" s="22" t="str">
        <x:v>Medium</x:v>
      </x:c>
      <x:c r="F10" s="22" t="str">
        <x:v>Near CTA</x:v>
      </x:c>
      <x:c r="G10" s="22" t="str">
        <x:v>After checklist</x:v>
      </x:c>
      <x:c r="H10" s="22" t="str">
        <x:v>End</x:v>
      </x:c>
      <x:c r="I10" s="22" t="str">
        <x:v>Không nói đủ hồ sơ = chắc được duyệt</x:v>
      </x:c>
      <x:c r="J10" s="22" t="str">
        <x:v>need_to_loan</x:v>
      </x:c>
      <x:c r="K10" s="22" t="str">
        <x:v>Qualified click</x:v>
      </x:c>
      <x:c r="L10" s="22" t="str">
        <x:v>Qualification-first.</x:v>
      </x:c>
      <x:c r="M10" s="22" t="str">
        <x:v>P1</x:v>
      </x:c>
    </x:row>
    <x:row r="11">
      <x:c r="A11" s="22" t="str">
        <x:v>L-TIME</x:v>
      </x:c>
      <x:c r="B11" s="22" t="str">
        <x:v>Hot</x:v>
      </x:c>
      <x:c r="C11" s="22" t="str">
        <x:v>Kiểm tra trạng thái/kênh Home Credit</x:v>
      </x:c>
      <x:c r="D11" s="22" t="str">
        <x:v>Quay lại hướng dẫn vay</x:v>
      </x:c>
      <x:c r="E11" s="22" t="str">
        <x:v>Low-Medium</x:v>
      </x:c>
      <x:c r="F11" s="22" t="str">
        <x:v>Near CTA</x:v>
      </x:c>
      <x:c r="G11" s="22" t="str">
        <x:v>After timing answer</x:v>
      </x:c>
      <x:c r="H11" s="22" t="str">
        <x:v>End</x:v>
      </x:c>
      <x:c r="I11" s="22" t="str">
        <x:v>Không cam kết thời gian xử lý</x:v>
      </x:c>
      <x:c r="J11" s="22" t="str">
        <x:v>time_to_loan</x:v>
      </x:c>
      <x:c r="K11" s="22" t="str">
        <x:v>Assisted outbound</x:v>
      </x:c>
      <x:c r="L11" s="22" t="str">
        <x:v>Timing caveat.</x:v>
      </x:c>
      <x:c r="M11" s="22" t="str">
        <x:v>P1</x:v>
      </x:c>
    </x:row>
    <x:row r="12">
      <x:c r="A12" s="22" t="str">
        <x:v>L-PAY</x:v>
      </x:c>
      <x:c r="B12" s="22" t="str">
        <x:v>Post-action</x:v>
      </x:c>
      <x:c r="C12" s="22" t="str">
        <x:v>Mở ứng dụng/kênh Home Credit để thanh toán</x:v>
      </x:c>
      <x:c r="D12" s="22" t="str">
        <x:v>Xem hướng dẫn khoản vay</x:v>
      </x:c>
      <x:c r="E12" s="22" t="str">
        <x:v>Low</x:v>
      </x:c>
      <x:c r="F12" s="22" t="str">
        <x:v>Before support links</x:v>
      </x:c>
      <x:c r="G12" s="22" t="str">
        <x:v>After steps</x:v>
      </x:c>
      <x:c r="H12" s="22" t="str">
        <x:v>End</x:v>
      </x:c>
      <x:c r="I12" s="22" t="str">
        <x:v>Không đẩy affiliate sales mạnh</x:v>
      </x:c>
      <x:c r="J12" s="22" t="str">
        <x:v>loan_payment_support</x:v>
      </x:c>
      <x:c r="K12" s="22" t="str">
        <x:v>Support resolution</x:v>
      </x:c>
      <x:c r="L12" s="22" t="str">
        <x:v>Servicing-first.</x:v>
      </x:c>
      <x:c r="M12" s="22" t="str">
        <x:v>P1</x:v>
      </x:c>
    </x:row>
    <x:row r="13">
      <x:c r="A13" s="22" t="str">
        <x:v>C-NEED</x:v>
      </x:c>
      <x:c r="B13" s="22" t="str">
        <x:v>Warm</x:v>
      </x:c>
      <x:c r="C13" s="22" t="str">
        <x:v>Mở thẻ nếu đáp ứng điều kiện cơ bản</x:v>
      </x:c>
      <x:c r="D13" s="22" t="str">
        <x:v>Xem phí/lãi</x:v>
      </x:c>
      <x:c r="E13" s="22" t="str">
        <x:v>Medium</x:v>
      </x:c>
      <x:c r="F13" s="22" t="str">
        <x:v>Near CTA</x:v>
      </x:c>
      <x:c r="G13" s="22" t="str">
        <x:v>After checklist</x:v>
      </x:c>
      <x:c r="H13" s="22" t="str">
        <x:v>End</x:v>
      </x:c>
      <x:c r="I13" s="22" t="str">
        <x:v>Không nói không chứng minh thu nhập = chắc được duyệt</x:v>
      </x:c>
      <x:c r="J13" s="22" t="str">
        <x:v>need_to_card</x:v>
      </x:c>
      <x:c r="K13" s="22" t="str">
        <x:v>Qualified card click</x:v>
      </x:c>
      <x:c r="L13" s="22" t="str">
        <x:v>Qualification-first.</x:v>
      </x:c>
      <x:c r="M13" s="22" t="str">
        <x:v>P1</x:v>
      </x:c>
    </x:row>
    <x:row r="14">
      <x:c r="A14" s="22" t="str">
        <x:v>C-COST</x:v>
      </x:c>
      <x:c r="B14" s="22" t="str">
        <x:v>Warm-hot</x:v>
      </x:c>
      <x:c r="C14" s="22" t="str">
        <x:v>Xem thẻ/đăng ký sau khi đọc biểu phí</x:v>
      </x:c>
      <x:c r="D14" s="22" t="str">
        <x:v>Quay lại card pillar</x:v>
      </x:c>
      <x:c r="E14" s="22" t="str">
        <x:v>Medium</x:v>
      </x:c>
      <x:c r="F14" s="22" t="str">
        <x:v>Near CTA</x:v>
      </x:c>
      <x:c r="G14" s="22" t="str">
        <x:v>After current tariff</x:v>
      </x:c>
      <x:c r="H14" s="22" t="str">
        <x:v>End</x:v>
      </x:c>
      <x:c r="I14" s="22" t="str">
        <x:v>Không dẫn bằng promo cũ</x:v>
      </x:c>
      <x:c r="J14" s="22" t="str">
        <x:v>cost_to_card</x:v>
      </x:c>
      <x:c r="K14" s="22" t="str">
        <x:v>Qualified outbound</x:v>
      </x:c>
      <x:c r="L14" s="22" t="str">
        <x:v>Cost-first.</x:v>
      </x:c>
      <x:c r="M14" s="22" t="str">
        <x:v>P0</x:v>
      </x:c>
    </x:row>
    <x:row r="15">
      <x:c r="A15" s="22" t="str">
        <x:v>C-STATEMENT</x:v>
      </x:c>
      <x:c r="B15" s="22" t="str">
        <x:v>Post-action</x:v>
      </x:c>
      <x:c r="C15" s="22" t="str">
        <x:v>Mở app Home Credit kiểm sao kê/dư nợ</x:v>
      </x:c>
      <x:c r="D15" s="22" t="str">
        <x:v>Quay lại card pillar</x:v>
      </x:c>
      <x:c r="E15" s="22" t="str">
        <x:v>Low</x:v>
      </x:c>
      <x:c r="F15" s="22" t="str">
        <x:v>Minimal</x:v>
      </x:c>
      <x:c r="G15" s="22" t="str">
        <x:v>After explanation</x:v>
      </x:c>
      <x:c r="H15" s="22" t="str">
        <x:v>End</x:v>
      </x:c>
      <x:c r="I15" s="22" t="str">
        <x:v>Không đẩy mở thẻ mới cho người đang trả nợ</x:v>
      </x:c>
      <x:c r="J15" s="22" t="str">
        <x:v>statement_support</x:v>
      </x:c>
      <x:c r="K15" s="22" t="str">
        <x:v>Support resolution</x:v>
      </x:c>
      <x:c r="L15" s="22" t="str">
        <x:v>Servicing page.</x:v>
      </x:c>
      <x:c r="M15" s="22" t="str">
        <x:v>P1</x:v>
      </x:c>
    </x:row>
    <x:row r="16">
      <x:c r="A16" s="22" t="str">
        <x:v>C-CASH</x:v>
      </x:c>
      <x:c r="B16" s="22" t="str">
        <x:v>Hot/problem</x:v>
      </x:c>
      <x:c r="C16" s="22" t="str">
        <x:v>Kiểm biểu phí/hạn mức trên Home Credit</x:v>
      </x:c>
      <x:c r="D16" s="22" t="str">
        <x:v>Xem card pillar</x:v>
      </x:c>
      <x:c r="E16" s="22" t="str">
        <x:v>Low</x:v>
      </x:c>
      <x:c r="F16" s="22" t="str">
        <x:v>Near CTA if any</x:v>
      </x:c>
      <x:c r="G16" s="22" t="str">
        <x:v>After cost warning</x:v>
      </x:c>
      <x:c r="H16" s="22" t="str">
        <x:v>End</x:v>
      </x:c>
      <x:c r="I16" s="22" t="str">
        <x:v>Không quảng bá rút tiền như khoản vay rẻ</x:v>
      </x:c>
      <x:c r="J16" s="22" t="str">
        <x:v>cash_advance_support</x:v>
      </x:c>
      <x:c r="K16" s="22" t="str">
        <x:v>Support/education</x:v>
      </x:c>
      <x:c r="L16" s="22" t="str">
        <x:v>High-cost use case.</x:v>
      </x:c>
      <x:c r="M16" s="22" t="str">
        <x:v>P0</x:v>
      </x:c>
    </x:row>
    <x:row r="17">
      <x:c r="A17" s="22" t="str">
        <x:v>C-INSTALL</x:v>
      </x:c>
      <x:c r="B17" s="22" t="str">
        <x:v>Post-action</x:v>
      </x:c>
      <x:c r="C17" s="22" t="str">
        <x:v>Kiểm điều kiện trả góp hiện hành trên Home Credit</x:v>
      </x:c>
      <x:c r="D17" s="22" t="str">
        <x:v>Xem biểu phí</x:v>
      </x:c>
      <x:c r="E17" s="22" t="str">
        <x:v>Low</x:v>
      </x:c>
      <x:c r="F17" s="22" t="str">
        <x:v>Minimal</x:v>
      </x:c>
      <x:c r="G17" s="22" t="str">
        <x:v>After current terms</x:v>
      </x:c>
      <x:c r="H17" s="22" t="str">
        <x:v>End</x:v>
      </x:c>
      <x:c r="I17" s="22" t="str">
        <x:v>Không dùng claim 0% nếu source hiện hành không xác nhận</x:v>
      </x:c>
      <x:c r="J17" s="22" t="str">
        <x:v>installment_support</x:v>
      </x:c>
      <x:c r="K17" s="22" t="str">
        <x:v>Support resolution</x:v>
      </x:c>
      <x:c r="L17" s="22" t="str">
        <x:v>Current terms only.</x:v>
      </x:c>
      <x:c r="M17" s="22" t="str">
        <x:v>P0</x:v>
      </x:c>
    </x:row>
    <x:row r="18">
      <x:c r="A18" s="22" t="str">
        <x:v>B-COMPARE</x:v>
      </x:c>
      <x:c r="B18" s="22" t="str">
        <x:v>Warm</x:v>
      </x:c>
      <x:c r="C18" s="22" t="str">
        <x:v>Xem vay tiền mặt</x:v>
      </x:c>
      <x:c r="D18" s="22" t="str">
        <x:v>Xem thẻ tín dụng</x:v>
      </x:c>
      <x:c r="E18" s="22" t="str">
        <x:v>Medium split</x:v>
      </x:c>
      <x:c r="F18" s="22" t="str">
        <x:v>Near both CTAs</x:v>
      </x:c>
      <x:c r="G18" s="22" t="str">
        <x:v>After comparison table</x:v>
      </x:c>
      <x:c r="H18" s="22" t="str">
        <x:v>End</x:v>
      </x:c>
      <x:c r="I18" s="22" t="str">
        <x:v>Không cá nhân hóa khuyến nghị vay</x:v>
      </x:c>
      <x:c r="J18" s="22" t="str">
        <x:v>compare_to_loan; compare_to_card</x:v>
      </x:c>
      <x:c r="K18" s="22" t="str">
        <x:v>Correct routing</x:v>
      </x:c>
      <x:c r="L18" s="22" t="str">
        <x:v>Neutral routing.</x:v>
      </x:c>
      <x:c r="M18" s="22" t="str">
        <x:v>P1</x:v>
      </x:c>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HOME CREDIT – PUBLISH SOURCE MATRIX</x:v>
      </x:c>
      <x:c r="B1" s="28"/>
      <x:c r="C1" s="28"/>
      <x:c r="D1" s="28"/>
      <x:c r="E1" s="28"/>
      <x:c r="F1" s="28"/>
      <x:c r="G1" s="28"/>
      <x:c r="H1" s="28"/>
      <x:c r="I1" s="28"/>
      <x:c r="J1" s="28"/>
      <x:c r="K1" s="28"/>
      <x:c r="L1" s="28"/>
    </x:row>
    <x:row r="2">
      <x:c r="A2" s="42" t="str">
        <x:v>Home Credit official là source of truth cho lãi/phí/điều kiện/quy trình. SERP bên thứ ba chỉ dùng phát hiện câu hỏi, không dùng làm bằng chứng tài chính.</x:v>
      </x:c>
      <x:c r="B2" s="42"/>
      <x:c r="C2" s="42"/>
      <x:c r="D2" s="42"/>
      <x:c r="E2" s="42"/>
      <x:c r="F2" s="42"/>
      <x:c r="G2" s="42"/>
      <x:c r="H2" s="42"/>
      <x:c r="I2" s="42"/>
      <x:c r="J2" s="42"/>
      <x:c r="K2" s="42"/>
      <x:c r="L2" s="42"/>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Checked</x:v>
      </x:c>
      <x:c r="J4" s="20" t="str">
        <x:v>Recheck trigger</x:v>
      </x:c>
      <x:c r="K4" s="20" t="str">
        <x:v>Publish rule</x:v>
      </x:c>
      <x:c r="L4" s="20" t="str">
        <x:v>Notes</x:v>
      </x:c>
    </x:row>
    <x:row r="5">
      <x:c r="A5" s="22" t="str">
        <x:v>S1</x:v>
      </x:c>
      <x:c r="B5" s="22" t="str">
        <x:v>Home Credit – vay tiền online / check hạn mức</x:v>
      </x:c>
      <x:c r="C5" s="22" t="str">
        <x:v>https://dangky.homecredit.vn/vay-tien</x:v>
      </x:c>
      <x:c r="D5" s="22" t="str">
        <x:v>Primary / official</x:v>
      </x:c>
      <x:c r="E5" s="22" t="str">
        <x:v>Current loan product, range/term/rate claims, application flow</x:v>
      </x:c>
      <x:c r="F5" s="22" t="str">
        <x:v>Card terms</x:v>
      </x:c>
      <x:c r="G5" s="22" t="str">
        <x:v>L-PILLAR; L-RATE; L-TIME; L-COST</x:v>
      </x:c>
      <x:c r="H5" s="22" t="str">
        <x:v>High</x:v>
      </x:c>
      <x:c xmlns:x="http://schemas.openxmlformats.org/spreadsheetml/2006/main" r="I5" s="22" t="str">
        <x:v>2026-10-28</x:v>
      </x:c>
      <x:c r="J5" s="22" t="str">
        <x:v>Before publish/update</x:v>
      </x:c>
      <x:c r="K5" s="22" t="str">
        <x:v>Required for product claims</x:v>
      </x:c>
      <x:c r="L5" s="22" t="str">
        <x:v>Currently advertises online process, 3–57 months, rate from 0.75%/month, quick approval/disbursement; verify at publish.</x:v>
      </x:c>
    </x:row>
    <x:row r="6">
      <x:c r="A6" s="22" t="str">
        <x:v>S2</x:v>
      </x:c>
      <x:c r="B6" s="22" t="str">
        <x:v>Home Credit – FAQ vay tiền mặt</x:v>
      </x:c>
      <x:c r="C6" s="22" t="str">
        <x:v>https://www.homecredit.vn/faq/vay-tien-mat</x:v>
      </x:c>
      <x:c r="D6" s="22" t="str">
        <x:v>Primary / official</x:v>
      </x:c>
      <x:c r="E6" s="22" t="str">
        <x:v>Loan rate examples, limits, product FAQs</x:v>
      </x:c>
      <x:c r="F6" s="22" t="str">
        <x:v>Latest card tariff</x:v>
      </x:c>
      <x:c r="G6" s="22" t="str">
        <x:v>L-PILLAR; L-RATE</x:v>
      </x:c>
      <x:c r="H6" s="22" t="str">
        <x:v>High</x:v>
      </x:c>
      <x:c xmlns:x="http://schemas.openxmlformats.org/spreadsheetml/2006/main" r="I6" s="22" t="str">
        <x:v>2026-10-28</x:v>
      </x:c>
      <x:c r="J6" s="22" t="str">
        <x:v>Before cost update</x:v>
      </x:c>
      <x:c r="K6" s="22" t="str">
        <x:v>Required</x:v>
      </x:c>
      <x:c r="L6" s="22" t="str">
        <x:v>Use exact rate convention labels.</x:v>
      </x:c>
    </x:row>
    <x:row r="7">
      <x:c r="A7" s="22" t="str">
        <x:v>S3</x:v>
      </x:c>
      <x:c r="B7" s="22" t="str">
        <x:v>Home Credit – cập nhật hợp đồng vay tiền mặt</x:v>
      </x:c>
      <x:c r="C7" s="22" t="str">
        <x:v>https://www.homecredit.vn/blog/cap-nhat-hop-dong-cho-vay-tien-mat</x:v>
      </x:c>
      <x:c r="D7" s="22" t="str">
        <x:v>Primary / official</x:v>
      </x:c>
      <x:c r="E7" s="22" t="str">
        <x:v>Age 20–60, docs, possible salary statement for higher limits, online/offline channels</x:v>
      </x:c>
      <x:c r="F7" s="22" t="str">
        <x:v>Guarantee of approval</x:v>
      </x:c>
      <x:c r="G7" s="22" t="str">
        <x:v>L-NEED; L-PILLAR</x:v>
      </x:c>
      <x:c r="H7" s="22" t="str">
        <x:v>Medium</x:v>
      </x:c>
      <x:c xmlns:x="http://schemas.openxmlformats.org/spreadsheetml/2006/main" r="I7" s="22" t="str">
        <x:v>2026-10-28</x:v>
      </x:c>
      <x:c r="J7" s="22" t="str">
        <x:v>Before eligibility update</x:v>
      </x:c>
      <x:c r="K7" s="22" t="str">
        <x:v>Required</x:v>
      </x:c>
      <x:c r="L7" s="22" t="str">
        <x:v>Recent 2026 page.</x:v>
      </x:c>
    </x:row>
    <x:row r="8">
      <x:c r="A8" s="22" t="str">
        <x:v>S4</x:v>
      </x:c>
      <x:c r="B8" s="22" t="str">
        <x:v>Home Credit – FAQ hợp đồng vay</x:v>
      </x:c>
      <x:c r="C8" s="22" t="str">
        <x:v>https://www.homecredit.vn/faq/hop-dong-vay</x:v>
      </x:c>
      <x:c r="D8" s="22" t="str">
        <x:v>Primary / official</x:v>
      </x:c>
      <x:c r="E8" s="22" t="str">
        <x:v>Rejection reasons, borrowing again, support</x:v>
      </x:c>
      <x:c r="F8" s="22" t="str">
        <x:v>How to game scoring</x:v>
      </x:c>
      <x:c r="G8" s="22" t="str">
        <x:v>L-REJECT; L-PILLAR</x:v>
      </x:c>
      <x:c r="H8" s="22" t="str">
        <x:v>Medium</x:v>
      </x:c>
      <x:c xmlns:x="http://schemas.openxmlformats.org/spreadsheetml/2006/main" r="I8" s="22" t="str">
        <x:v>2026-10-28</x:v>
      </x:c>
      <x:c r="J8" s="22" t="str">
        <x:v>Before troubleshooting publish</x:v>
      </x:c>
      <x:c r="K8" s="22" t="str">
        <x:v>Required</x:v>
      </x:c>
      <x:c r="L8" s="22" t="str">
        <x:v>Reapply messaging should be checked against other current FAQs.</x:v>
      </x:c>
    </x:row>
    <x:row r="9">
      <x:c r="A9" s="22" t="str">
        <x:v>S5</x:v>
      </x:c>
      <x:c r="B9" s="22" t="str">
        <x:v>Home Credit – FAQ quy trình thẩm định</x:v>
      </x:c>
      <x:c r="C9" s="22" t="str">
        <x:v>https://www.homecredit.vn/faq/quy-trinh-tham-dinh</x:v>
      </x:c>
      <x:c r="D9" s="22" t="str">
        <x:v>Primary / official</x:v>
      </x:c>
      <x:c r="E9" s="22" t="str">
        <x:v>Rejected application / reapply notification logic</x:v>
      </x:c>
      <x:c r="F9" s="22" t="str">
        <x:v>Guaranteed reapply timeline</x:v>
      </x:c>
      <x:c r="G9" s="22" t="str">
        <x:v>L-REJECT</x:v>
      </x:c>
      <x:c r="H9" s="22" t="str">
        <x:v>Medium</x:v>
      </x:c>
      <x:c xmlns:x="http://schemas.openxmlformats.org/spreadsheetml/2006/main" r="I9" s="22" t="str">
        <x:v>2026-10-28</x:v>
      </x:c>
      <x:c r="J9" s="22" t="str">
        <x:v>Before publish</x:v>
      </x:c>
      <x:c r="K9" s="22" t="str">
        <x:v>Use cautious wording</x:v>
      </x:c>
      <x:c r="L9" s="22" t="str">
        <x:v>Official pages can phrase reapply differently.</x:v>
      </x:c>
    </x:row>
    <x:row r="10">
      <x:c r="A10" s="22" t="str">
        <x:v>S6</x:v>
      </x:c>
      <x:c r="B10" s="22" t="str">
        <x:v>Home Credit – thẻ tín dụng online</x:v>
      </x:c>
      <x:c r="C10" s="22" t="str">
        <x:v>https://www.homecredit.vn/the-tin-dung-online</x:v>
      </x:c>
      <x:c r="D10" s="22" t="str">
        <x:v>Primary / official</x:v>
      </x:c>
      <x:c r="E10" s="22" t="str">
        <x:v>Card eligibility, product benefits, application, current fee snippets</x:v>
      </x:c>
      <x:c r="F10" s="22" t="str">
        <x:v>Latest full tariff if newer doc exists</x:v>
      </x:c>
      <x:c r="G10" s="22" t="str">
        <x:v>C-PILLAR; C-NEED</x:v>
      </x:c>
      <x:c r="H10" s="22" t="str">
        <x:v>High</x:v>
      </x:c>
      <x:c xmlns:x="http://schemas.openxmlformats.org/spreadsheetml/2006/main" r="I10" s="22" t="str">
        <x:v>2026-10-29</x:v>
      </x:c>
      <x:c r="J10" s="22" t="str">
        <x:v>Before card update</x:v>
      </x:c>
      <x:c r="K10" s="22" t="str">
        <x:v>Required</x:v>
      </x:c>
      <x:c xmlns:x="http://schemas.openxmlformats.org/spreadsheetml/2006/main" r="L10" s="22" t="str">
        <x:v>2026-10-29 productpage accessed200, pageupdated12Oct2026. Eligibility20-60/validID, range1-100M, Apphome optionUu dai the tin dung. Age paragraph scoped Vietnamese customers; no approval guarantee or card-specific supportcode placement assumed.</x:v>
      </x:c>
    </x:row>
    <x:row r="11">
      <x:c r="A11" s="22" t="str">
        <x:v>S7</x:v>
      </x:c>
      <x:c r="B11" s="22" t="str">
        <x:v>Home Credit – FAQ thẻ tín dụng</x:v>
      </x:c>
      <x:c r="C11" s="22" t="str">
        <x:v>https://www.homecredit.vn/faq/the-tin-dung</x:v>
      </x:c>
      <x:c r="D11" s="22" t="str">
        <x:v>Primary / official</x:v>
      </x:c>
      <x:c r="E11" s="22" t="str">
        <x:v>Activation, withdrawal, limits, statement, minimum payment, due date</x:v>
      </x:c>
      <x:c r="F11" s="22" t="str">
        <x:v>Latest full fee schedule by all card types</x:v>
      </x:c>
      <x:c r="G11" s="22" t="str">
        <x:v>C-PILLAR; C-STATEMENT; C-ACTIVATE; C-CASH</x:v>
      </x:c>
      <x:c r="H11" s="22" t="str">
        <x:v>High</x:v>
      </x:c>
      <x:c xmlns:x="http://schemas.openxmlformats.org/spreadsheetml/2006/main" r="I11" s="22" t="str">
        <x:v>2026-10-29</x:v>
      </x:c>
      <x:c r="J11" s="22" t="str">
        <x:v>Before lifecycle update</x:v>
      </x:c>
      <x:c r="K11" s="22" t="str">
        <x:v>Required</x:v>
      </x:c>
      <x:c xmlns:x="http://schemas.openxmlformats.org/spreadsheetml/2006/main" r="L11" s="22" t="str">
        <x:v>2026-10-29 FAQ200. Supports Appapplication, activation and cardhotline1900633999. For minimum payment and fees use latest tariff/TnC instead of simplified7%FAQ or blanketATMavailability for virtualcards.</x:v>
      </x:c>
    </x:row>
    <x:row r="12">
      <x:c r="A12" s="22" t="str">
        <x:v>S8</x:v>
      </x:c>
      <x:c r="B12" s="22" t="str">
        <x:v>Home Credit – tra cứu mẫu hợp đồng</x:v>
      </x:c>
      <x:c r="C12" s="22" t="str">
        <x:v>https://www.homecredit.vn/tra-cuu-mau-hop-dong</x:v>
      </x:c>
      <x:c r="D12" s="22" t="str">
        <x:v>Primary / official</x:v>
      </x:c>
      <x:c r="E12" s="22" t="str">
        <x:v>Find latest credit-card tariff and installment terms</x:v>
      </x:c>
      <x:c r="F12" s="22" t="str">
        <x:v>Old tariff if newer effective document exists</x:v>
      </x:c>
      <x:c r="G12" s="22" t="str">
        <x:v>C-COST; C-CASH; C-INSTALL</x:v>
      </x:c>
      <x:c r="H12" s="22" t="str">
        <x:v>Very High</x:v>
      </x:c>
      <x:c xmlns:x="http://schemas.openxmlformats.org/spreadsheetml/2006/main" r="I12" s="22" t="str">
        <x:v>2026-10-29</x:v>
      </x:c>
      <x:c r="J12" s="22" t="str">
        <x:v>Every publish/update involving fees</x:v>
      </x:c>
      <x:c r="K12" s="22" t="str">
        <x:v>Latest document wins</x:v>
      </x:c>
      <x:c xmlns:x="http://schemas.openxmlformats.org/spreadsheetml/2006/main" r="L12" s="22" t="str">
        <x:v>2026-10-29 lookup200: latest tariff04Sep2026/2609_Credit_Card_tariff_VN_ff1e281fb6.pdf; latest cardTnC16Jul2026/Card_Card_Tn_C_VN_ver07_2026_0950fb1dfe.pdf; installmentTnC04Sep2026/Revamped_EPP_Tn_C_04092026_final_3_22e282cae2.pdf. Both tariffpages visually checked; cardtype/date exceptions preserved.</x:v>
      </x:c>
    </x:row>
    <x:row r="13">
      <x:c r="A13" s="22" t="str">
        <x:v>S9</x:v>
      </x:c>
      <x:c r="B13" s="22" t="str">
        <x:v>Home Credit – FAQ ứng dụng</x:v>
      </x:c>
      <x:c r="C13" s="22" t="str">
        <x:v>https://www.homecredit.vn/faq/ung-dung-home-credit</x:v>
      </x:c>
      <x:c r="D13" s="22" t="str">
        <x:v>Primary / official</x:v>
      </x:c>
      <x:c r="E13" s="22" t="str">
        <x:v>Loan payment, contract management, app usage</x:v>
      </x:c>
      <x:c r="F13" s="22" t="str">
        <x:v>Loan approval guarantee</x:v>
      </x:c>
      <x:c xmlns:x="http://schemas.openxmlformats.org/spreadsheetml/2006/main" r="G13" s="22" t="str">
        <x:v>C-PILLAR; L-PAY</x:v>
      </x:c>
      <x:c r="H13" s="22" t="str">
        <x:v>Medium</x:v>
      </x:c>
      <x:c xmlns:x="http://schemas.openxmlformats.org/spreadsheetml/2006/main" r="I13" s="22" t="str">
        <x:v>2026-10-29</x:v>
      </x:c>
      <x:c r="J13" s="22" t="str">
        <x:v>Before servicing update</x:v>
      </x:c>
      <x:c r="K13" s="22" t="str">
        <x:v>Required</x:v>
      </x:c>
      <x:c r="L13" s="22" t="str">
        <x:v>App UI can change.</x:v>
      </x:c>
    </x:row>
    <x:row r="14">
      <x:c r="A14" s="22" t="str">
        <x:v>S10</x:v>
      </x:c>
      <x:c r="B14" s="22" t="str">
        <x:v>1 Phút Đăng Ký – target Home Credit article</x:v>
      </x:c>
      <x:c r="C14" s="22" t="str">
        <x:v>https://1phutdangky.com/vay-tien-mat/vay-tien-mat-home-credit-online/</x:v>
      </x:c>
      <x:c r="D14" s="22" t="str">
        <x:v>Owned site</x:v>
      </x:c>
      <x:c r="E14" s="22" t="str">
        <x:v>Existing page, affiliate implementation, UI/content baseline</x:v>
      </x:c>
      <x:c r="F14" s="22" t="str">
        <x:v>Independent proof of Home Credit terms</x:v>
      </x:c>
      <x:c r="G14" s="22" t="str">
        <x:v>L-PILLAR</x:v>
      </x:c>
      <x:c r="H14" s="22" t="str">
        <x:v>Medium</x:v>
      </x:c>
      <x:c xmlns:x="http://schemas.openxmlformats.org/spreadsheetml/2006/main" r="I14" s="22" t="str">
        <x:v>2026-10-28</x:v>
      </x:c>
      <x:c r="J14" s="22" t="str">
        <x:v>Before Codex batch</x:v>
      </x:c>
      <x:c r="K14" s="22" t="str">
        <x:v>Owned implementation only</x:v>
      </x:c>
      <x:c r="L14" s="22" t="str">
        <x:v>Preserve existing site patterns.</x:v>
      </x:c>
    </x:row>
    <x:row r="15">
      <x:c r="A15" s="22" t="str">
        <x:v>S11</x:v>
      </x:c>
      <x:c r="B15" s="22" t="str">
        <x:v>1 Phút Đăng Ký – Giới thiệu</x:v>
      </x:c>
      <x:c r="C15" s="22" t="str">
        <x:v>https://1phutdangky.com/gioi-thieu/</x:v>
      </x:c>
      <x:c r="D15" s="22" t="str">
        <x:v>Owned site</x:v>
      </x:c>
      <x:c r="E15" s="22" t="str">
        <x:v>Editorial/affiliate disclosure positioning</x:v>
      </x:c>
      <x:c r="F15" s="22" t="str">
        <x:v>Product terms</x:v>
      </x:c>
      <x:c r="G15" s="22" t="str">
        <x:v>All</x:v>
      </x:c>
      <x:c r="H15" s="22" t="str">
        <x:v>Low</x:v>
      </x:c>
      <x:c r="I15" s="22" t="str">
        <x:v>2026-10-27</x:v>
      </x:c>
      <x:c r="J15" s="22" t="str">
        <x:v>Only if site policy changes</x:v>
      </x:c>
      <x:c r="K15" s="22" t="str">
        <x:v>Use for disclosure consistency</x:v>
      </x:c>
      <x:c r="L15" s="22" t="str">
        <x:v>1 Phút Đăng Ký is independent, not lender.</x:v>
      </x:c>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HOME CREDIT – DAILY PUBLISHING SCHEDULE (60 DAYS)</x:v>
      </x:c>
      <x:c r="B1" s="38"/>
      <x:c r="C1" s="38"/>
      <x:c r="D1" s="38"/>
      <x:c r="E1" s="38"/>
      <x:c r="F1" s="38"/>
      <x:c r="G1" s="38"/>
      <x:c r="H1" s="38"/>
      <x:c r="I1" s="38"/>
      <x:c r="J1" s="38"/>
      <x:c r="K1" s="38"/>
      <x:c r="L1" s="38"/>
      <x:c r="M1" s="38"/>
      <x:c r="N1" s="38"/>
      <x:c r="O1" s="38"/>
      <x:c r="P1" s="38"/>
    </x:row>
    <x:row r="2">
      <x:c r="A2" s="12" t="str">
        <x:v>1 ngày = 1 content item, không phải 1 URL mới. New article chỉ tạo khi intent/source/utility gate pass; còn lại là update, section, FAQ, internal link, source refresh hoặc measurement.</x:v>
      </x:c>
      <x:c r="B2" s="12"/>
      <x:c r="C2" s="12"/>
      <x:c r="D2" s="12"/>
      <x:c r="E2" s="12"/>
      <x:c r="F2" s="12"/>
      <x:c r="G2" s="12"/>
      <x:c r="H2" s="12"/>
      <x:c r="I2" s="12"/>
      <x:c r="J2" s="12"/>
      <x:c r="K2" s="12"/>
      <x:c r="L2" s="12"/>
      <x:c r="M2" s="12"/>
      <x:c r="N2" s="12"/>
      <x:c r="O2" s="12"/>
      <x:c r="P2" s="12"/>
    </x:row>
    <x:row r="4">
      <x:c r="A4" s="20" t="str">
        <x:v>Day</x:v>
      </x:c>
      <x:c r="B4" s="20" t="str">
        <x:v>Date</x:v>
      </x:c>
      <x:c r="C4" s="20" t="str">
        <x:v>Week</x:v>
      </x:c>
      <x:c r="D4" s="20" t="str">
        <x:v>Asset ID</x:v>
      </x:c>
      <x:c r="E4" s="20" t="str">
        <x:v>Content title / Task</x:v>
      </x:c>
      <x:c r="F4" s="20" t="str">
        <x:v>Product</x:v>
      </x:c>
      <x:c r="G4" s="20" t="str">
        <x:v>Intent layer</x:v>
      </x:c>
      <x:c r="H4" s="20" t="str">
        <x:v>Publish mode</x:v>
      </x:c>
      <x:c r="I4" s="20" t="str">
        <x:v>URL action</x:v>
      </x:c>
      <x:c r="J4" s="20" t="str">
        <x:v>Canonical / Parent</x:v>
      </x:c>
      <x:c r="K4" s="20" t="str">
        <x:v>CTA level</x:v>
      </x:c>
      <x:c r="L4" s="20" t="str">
        <x:v>Source gate</x:v>
      </x:c>
      <x:c r="M4" s="20" t="str">
        <x:v>Codex action</x:v>
      </x:c>
      <x:c r="N4" s="20" t="str">
        <x:v>Priority</x:v>
      </x:c>
      <x:c r="O4" s="20" t="str">
        <x:v>Status</x:v>
      </x:c>
      <x:c r="P4" s="20" t="str">
        <x:v>Notes</x:v>
      </x:c>
    </x:row>
    <x:row r="5">
      <x:c r="A5" s="22" t="n">
        <x:v>1</x:v>
      </x:c>
      <x:c r="B5" s="46" t="n">
        <x:f>'Plan Settings'!$B$4+A5-1</x:f>
        <x:v>46323</x:v>
      </x:c>
      <x:c r="C5" s="22" t="n">
        <x:v>1</x:v>
      </x:c>
      <x:c r="D5" s="22" t="str">
        <x:v>L-PILLAR</x:v>
      </x:c>
      <x:c r="E5" s="22" t="str">
        <x:v>Update: Vay tiền mặt Home Credit online</x:v>
      </x:c>
      <x:c r="F5" s="22" t="str">
        <x:v>Cash Loan</x:v>
      </x:c>
      <x:c r="G5" s="22" t="str">
        <x:v>Transactional</x:v>
      </x:c>
      <x:c r="H5" s="22" t="str">
        <x:v>Update existing</x:v>
      </x:c>
      <x:c r="I5" s="22" t="str">
        <x:v>Keep URL</x:v>
      </x:c>
      <x:c r="J5" s="22" t="str">
        <x:v>Pillar L</x:v>
      </x:c>
      <x:c r="K5" s="22" t="str">
        <x:v>High</x:v>
      </x:c>
      <x:c r="L5" s="22" t="str">
        <x:v>S1/S2/S3</x:v>
      </x:c>
      <x:c r="M5" s="22" t="str">
        <x:v>Update title/H1/answer/cost/process/CTA/internal links</x:v>
      </x:c>
      <x:c r="N5" s="22" t="str">
        <x:v>P0</x:v>
      </x:c>
      <x:c r="O5" s="22" t="str">
        <x:v>Planned</x:v>
      </x:c>
      <x:c r="P5" s="22" t="str">
        <x:v>Core existing money page</x:v>
      </x:c>
    </x:row>
    <x:row r="6">
      <x:c r="A6" s="22" t="n">
        <x:v>2</x:v>
      </x:c>
      <x:c r="B6" s="46" t="n">
        <x:f>'Plan Settings'!$B$4+A6-1</x:f>
        <x:v>46324</x:v>
      </x:c>
      <x:c r="C6" s="22" t="n">
        <x:v>1</x:v>
      </x:c>
      <x:c r="D6" s="22" t="str">
        <x:v>C-PILLAR</x:v>
      </x:c>
      <x:c r="E6" s="22" t="str">
        <x:v>Publish: Mở thẻ tín dụng Home Credit online</x:v>
      </x:c>
      <x:c r="F6" s="22" t="str">
        <x:v>Credit Card</x:v>
      </x:c>
      <x:c r="G6" s="22" t="str">
        <x:v>Transactional</x:v>
      </x:c>
      <x:c r="H6" s="22" t="str">
        <x:v>New article</x:v>
      </x:c>
      <x:c r="I6" s="22" t="str">
        <x:v>Create candidate card URL</x:v>
      </x:c>
      <x:c r="J6" s="22" t="str">
        <x:v>Pillar C</x:v>
      </x:c>
      <x:c r="K6" s="22" t="str">
        <x:v>High</x:v>
      </x:c>
      <x:c r="L6" s="22" t="str">
        <x:v>S6/S7/S8</x:v>
      </x:c>
      <x:c r="M6" s="22" t="str">
        <x:v>Create full card pillar using existing UI pattern</x:v>
      </x:c>
      <x:c r="N6" s="22" t="str">
        <x:v>P0</x:v>
      </x:c>
      <x:c r="O6" s="22" t="str">
        <x:v>Planned</x:v>
      </x:c>
      <x:c r="P6" s="22" t="str">
        <x:v>Second money page</x:v>
      </x:c>
    </x:row>
    <x:row r="7">
      <x:c r="A7" s="22" t="n">
        <x:v>3</x:v>
      </x:c>
      <x:c r="B7" s="46" t="n">
        <x:f>'Plan Settings'!$B$4+A7-1</x:f>
        <x:v>46325</x:v>
      </x:c>
      <x:c r="C7" s="22" t="n">
        <x:v>1</x:v>
      </x:c>
      <x:c r="D7" s="22" t="str">
        <x:v>L-RATE</x:v>
      </x:c>
      <x:c r="E7" s="22" t="str">
        <x:v>Lãi suất vay tiền mặt Home Credit: cách đọc</x:v>
      </x:c>
      <x:c r="F7" s="22" t="str">
        <x:v>Cash Loan</x:v>
      </x:c>
      <x:c r="G7" s="22" t="str">
        <x:v>Cost</x:v>
      </x:c>
      <x:c r="H7" s="22" t="str">
        <x:v>New article</x:v>
      </x:c>
      <x:c r="I7" s="22" t="str">
        <x:v>Create support URL</x:v>
      </x:c>
      <x:c r="J7" s="22" t="str">
        <x:v>Pillar L</x:v>
      </x:c>
      <x:c r="K7" s="22" t="str">
        <x:v>Medium</x:v>
      </x:c>
      <x:c r="L7" s="22" t="str">
        <x:v>S1/S2</x:v>
      </x:c>
      <x:c r="M7" s="22" t="str">
        <x:v>Create rate education article</x:v>
      </x:c>
      <x:c r="N7" s="22" t="str">
        <x:v>P0</x:v>
      </x:c>
      <x:c r="O7" s="22" t="str">
        <x:v>Planned</x:v>
      </x:c>
      <x:c r="P7" s="22" t="str">
        <x:v>Flat vs declining balance</x:v>
      </x:c>
    </x:row>
    <x:row r="8">
      <x:c r="A8" s="22" t="n">
        <x:v>4</x:v>
      </x:c>
      <x:c r="B8" s="46" t="n">
        <x:f>'Plan Settings'!$B$4+A8-1</x:f>
        <x:v>46326</x:v>
      </x:c>
      <x:c r="C8" s="22" t="n">
        <x:v>1</x:v>
      </x:c>
      <x:c r="D8" s="22" t="str">
        <x:v>L-REJECT</x:v>
      </x:c>
      <x:c r="E8" s="22" t="str">
        <x:v>Hồ sơ vay Home Credit bị từ chối</x:v>
      </x:c>
      <x:c r="F8" s="22" t="str">
        <x:v>Cash Loan</x:v>
      </x:c>
      <x:c r="G8" s="22" t="str">
        <x:v>Troubleshooting</x:v>
      </x:c>
      <x:c r="H8" s="22" t="str">
        <x:v>New article</x:v>
      </x:c>
      <x:c r="I8" s="22" t="str">
        <x:v>Create support URL</x:v>
      </x:c>
      <x:c r="J8" s="22" t="str">
        <x:v>Pillar L</x:v>
      </x:c>
      <x:c r="K8" s="22" t="str">
        <x:v>Low-Medium</x:v>
      </x:c>
      <x:c r="L8" s="22" t="str">
        <x:v>S4/S5</x:v>
      </x:c>
      <x:c r="M8" s="22" t="str">
        <x:v>Create rejection/support article</x:v>
      </x:c>
      <x:c r="N8" s="22" t="str">
        <x:v>P0</x:v>
      </x:c>
      <x:c r="O8" s="22" t="str">
        <x:v>Planned</x:v>
      </x:c>
      <x:c r="P8" s="22" t="str">
        <x:v>No scoring bypass</x:v>
      </x:c>
    </x:row>
    <x:row r="9">
      <x:c r="A9" s="22" t="n">
        <x:v>5</x:v>
      </x:c>
      <x:c r="B9" s="46" t="n">
        <x:f>'Plan Settings'!$B$4+A9-1</x:f>
        <x:v>46327</x:v>
      </x:c>
      <x:c r="C9" s="22" t="n">
        <x:v>1</x:v>
      </x:c>
      <x:c r="D9" s="22" t="str">
        <x:v>L-COST</x:v>
      </x:c>
      <x:c r="E9" s="22" t="str">
        <x:v>Vay Home Credit có phí gì?</x:v>
      </x:c>
      <x:c r="F9" s="22" t="str">
        <x:v>Cash Loan</x:v>
      </x:c>
      <x:c r="G9" s="22" t="str">
        <x:v>Cost</x:v>
      </x:c>
      <x:c r="H9" s="22" t="str">
        <x:v>New article</x:v>
      </x:c>
      <x:c r="I9" s="22" t="str">
        <x:v>Create support URL</x:v>
      </x:c>
      <x:c r="J9" s="22" t="str">
        <x:v>Pillar L</x:v>
      </x:c>
      <x:c r="K9" s="22" t="str">
        <x:v>Medium</x:v>
      </x:c>
      <x:c r="L9" s="22" t="str">
        <x:v>S1 + contract lookup</x:v>
      </x:c>
      <x:c r="M9" s="22" t="str">
        <x:v>Create cost article</x:v>
      </x:c>
      <x:c r="N9" s="22" t="str">
        <x:v>P0</x:v>
      </x:c>
      <x:c r="O9" s="22" t="str">
        <x:v>Planned</x:v>
      </x:c>
      <x:c r="P9" s="22" t="str">
        <x:v>Insurance/fees/early settlement</x:v>
      </x:c>
    </x:row>
    <x:row r="10">
      <x:c r="A10" s="22" t="n">
        <x:v>6</x:v>
      </x:c>
      <x:c r="B10" s="46" t="n">
        <x:f>'Plan Settings'!$B$4+A10-1</x:f>
        <x:v>46328</x:v>
      </x:c>
      <x:c r="C10" s="22" t="n">
        <x:v>1</x:v>
      </x:c>
      <x:c r="D10" s="22" t="str">
        <x:v>C-COST</x:v>
      </x:c>
      <x:c r="E10" s="22" t="str">
        <x:v>Phí và lãi suất thẻ tín dụng Home Credit</x:v>
      </x:c>
      <x:c r="F10" s="22" t="str">
        <x:v>Credit Card</x:v>
      </x:c>
      <x:c r="G10" s="22" t="str">
        <x:v>Cost</x:v>
      </x:c>
      <x:c r="H10" s="22" t="str">
        <x:v>New article</x:v>
      </x:c>
      <x:c r="I10" s="22" t="str">
        <x:v>Create support URL</x:v>
      </x:c>
      <x:c r="J10" s="22" t="str">
        <x:v>Pillar C</x:v>
      </x:c>
      <x:c r="K10" s="22" t="str">
        <x:v>Medium</x:v>
      </x:c>
      <x:c r="L10" s="22" t="str">
        <x:v>S8</x:v>
      </x:c>
      <x:c r="M10" s="22" t="str">
        <x:v>Create current-tariff article</x:v>
      </x:c>
      <x:c r="N10" s="22" t="str">
        <x:v>P0</x:v>
      </x:c>
      <x:c r="O10" s="22" t="str">
        <x:v>Planned</x:v>
      </x:c>
      <x:c r="P10" s="22" t="str">
        <x:v>Latest effective tariff only</x:v>
      </x:c>
    </x:row>
    <x:row r="11">
      <x:c r="A11" s="22" t="n">
        <x:v>7</x:v>
      </x:c>
      <x:c r="B11" s="46" t="n">
        <x:f>'Plan Settings'!$B$4+A11-1</x:f>
        <x:v>46329</x:v>
      </x:c>
      <x:c r="C11" s="22" t="n">
        <x:v>1</x:v>
      </x:c>
      <x:c r="D11" s="22" t="str">
        <x:v>C-CASH</x:v>
      </x:c>
      <x:c r="E11" s="22" t="str">
        <x:v>Rút tiền mặt từ thẻ tín dụng Home Credit</x:v>
      </x:c>
      <x:c r="F11" s="22" t="str">
        <x:v>Credit Card</x:v>
      </x:c>
      <x:c r="G11" s="22" t="str">
        <x:v>Cash advance</x:v>
      </x:c>
      <x:c r="H11" s="22" t="str">
        <x:v>New article</x:v>
      </x:c>
      <x:c r="I11" s="22" t="str">
        <x:v>Create support URL</x:v>
      </x:c>
      <x:c r="J11" s="22" t="str">
        <x:v>Pillar C</x:v>
      </x:c>
      <x:c r="K11" s="22" t="str">
        <x:v>Low</x:v>
      </x:c>
      <x:c r="L11" s="22" t="str">
        <x:v>S7/S8</x:v>
      </x:c>
      <x:c r="M11" s="22" t="str">
        <x:v>Create cost-first cash-advance article</x:v>
      </x:c>
      <x:c r="N11" s="22" t="str">
        <x:v>P0</x:v>
      </x:c>
      <x:c r="O11" s="22" t="str">
        <x:v>Planned</x:v>
      </x:c>
      <x:c r="P11" s="22" t="str">
        <x:v>Do not encourage borrowing via cash advance</x:v>
      </x:c>
    </x:row>
    <x:row r="12">
      <x:c r="A12" s="22" t="n">
        <x:v>8</x:v>
      </x:c>
      <x:c r="B12" s="46" t="n">
        <x:f>'Plan Settings'!$B$4+A12-1</x:f>
        <x:v>46330</x:v>
      </x:c>
      <x:c r="C12" s="22" t="n">
        <x:v>2</x:v>
      </x:c>
      <x:c r="D12" s="22" t="str">
        <x:v>C-INSTALL</x:v>
      </x:c>
      <x:c r="E12" s="22" t="str">
        <x:v>Trả góp thẻ tín dụng Home Credit</x:v>
      </x:c>
      <x:c r="F12" s="22" t="str">
        <x:v>Credit Card</x:v>
      </x:c>
      <x:c r="G12" s="22" t="str">
        <x:v>Installment</x:v>
      </x:c>
      <x:c r="H12" s="22" t="str">
        <x:v>New article</x:v>
      </x:c>
      <x:c r="I12" s="22" t="str">
        <x:v>Create support URL</x:v>
      </x:c>
      <x:c r="J12" s="22" t="str">
        <x:v>Pillar C</x:v>
      </x:c>
      <x:c r="K12" s="22" t="str">
        <x:v>Low</x:v>
      </x:c>
      <x:c r="L12" s="22" t="str">
        <x:v>S8</x:v>
      </x:c>
      <x:c r="M12" s="22" t="str">
        <x:v>Create current-terms installment article</x:v>
      </x:c>
      <x:c r="N12" s="22" t="str">
        <x:v>P0</x:v>
      </x:c>
      <x:c r="O12" s="22" t="str">
        <x:v>Planned</x:v>
      </x:c>
      <x:c r="P12" s="22" t="str">
        <x:v>Latest terms only</x:v>
      </x:c>
    </x:row>
    <x:row r="13">
      <x:c r="A13" s="22" t="n">
        <x:v>9</x:v>
      </x:c>
      <x:c r="B13" s="46" t="n">
        <x:f>'Plan Settings'!$B$4+A13-1</x:f>
        <x:v>46331</x:v>
      </x:c>
      <x:c r="C13" s="22" t="n">
        <x:v>2</x:v>
      </x:c>
      <x:c r="D13" s="22" t="str">
        <x:v>L-NEED</x:v>
      </x:c>
      <x:c r="E13" s="22" t="str">
        <x:v>Vay Home Credit cần gì?</x:v>
      </x:c>
      <x:c r="F13" s="22" t="str">
        <x:v>Cash Loan</x:v>
      </x:c>
      <x:c r="G13" s="22" t="str">
        <x:v>Eligibility</x:v>
      </x:c>
      <x:c r="H13" s="22" t="str">
        <x:v>New article</x:v>
      </x:c>
      <x:c r="I13" s="22" t="str">
        <x:v>Create support URL</x:v>
      </x:c>
      <x:c r="J13" s="22" t="str">
        <x:v>Pillar L</x:v>
      </x:c>
      <x:c r="K13" s="22" t="str">
        <x:v>Medium</x:v>
      </x:c>
      <x:c r="L13" s="22" t="str">
        <x:v>S3</x:v>
      </x:c>
      <x:c r="M13" s="22" t="str">
        <x:v>Create checklist article</x:v>
      </x:c>
      <x:c r="N13" s="22" t="str">
        <x:v>P1</x:v>
      </x:c>
      <x:c r="O13" s="22" t="str">
        <x:v>Planned</x:v>
      </x:c>
      <x:c r="P13" s="22" t="str">
        <x:v>Qualification</x:v>
      </x:c>
    </x:row>
    <x:row r="14">
      <x:c r="A14" s="22" t="n">
        <x:v>10</x:v>
      </x:c>
      <x:c r="B14" s="46" t="n">
        <x:f>'Plan Settings'!$B$4+A14-1</x:f>
        <x:v>46332</x:v>
      </x:c>
      <x:c r="C14" s="22" t="n">
        <x:v>2</x:v>
      </x:c>
      <x:c r="D14" s="22" t="str">
        <x:v>L-TIME</x:v>
      </x:c>
      <x:c r="E14" s="22" t="str">
        <x:v>Home Credit duyệt hồ sơ và giải ngân bao lâu?</x:v>
      </x:c>
      <x:c r="F14" s="22" t="str">
        <x:v>Cash Loan</x:v>
      </x:c>
      <x:c r="G14" s="22" t="str">
        <x:v>Timing</x:v>
      </x:c>
      <x:c r="H14" s="22" t="str">
        <x:v>Conditional article</x:v>
      </x:c>
      <x:c r="I14" s="22" t="str">
        <x:v>Conditional URL</x:v>
      </x:c>
      <x:c r="J14" s="22" t="str">
        <x:v>Pillar L</x:v>
      </x:c>
      <x:c r="K14" s="22" t="str">
        <x:v>Low-Medium</x:v>
      </x:c>
      <x:c r="L14" s="22" t="str">
        <x:v>S1</x:v>
      </x:c>
      <x:c r="M14" s="22" t="str">
        <x:v>Create only if enough standalone depth</x:v>
      </x:c>
      <x:c r="N14" s="22" t="str">
        <x:v>P1</x:v>
      </x:c>
      <x:c r="O14" s="22" t="str">
        <x:v>Planned</x:v>
      </x:c>
      <x:c r="P14" s="22" t="str">
        <x:v>Could be FAQ</x:v>
      </x:c>
    </x:row>
    <x:row r="15">
      <x:c r="A15" s="22" t="n">
        <x:v>11</x:v>
      </x:c>
      <x:c r="B15" s="46" t="n">
        <x:f>'Plan Settings'!$B$4+A15-1</x:f>
        <x:v>46333</x:v>
      </x:c>
      <x:c r="C15" s="22" t="n">
        <x:v>2</x:v>
      </x:c>
      <x:c r="D15" s="22" t="str">
        <x:v>L-PAY</x:v>
      </x:c>
      <x:c r="E15" s="22" t="str">
        <x:v>Thanh toán khoản vay Home Credit</x:v>
      </x:c>
      <x:c r="F15" s="22" t="str">
        <x:v>Cash Loan</x:v>
      </x:c>
      <x:c r="G15" s="22" t="str">
        <x:v>Servicing</x:v>
      </x:c>
      <x:c r="H15" s="22" t="str">
        <x:v>New article</x:v>
      </x:c>
      <x:c r="I15" s="22" t="str">
        <x:v>Create support URL</x:v>
      </x:c>
      <x:c r="J15" s="22" t="str">
        <x:v>Pillar L</x:v>
      </x:c>
      <x:c r="K15" s="22" t="str">
        <x:v>Low</x:v>
      </x:c>
      <x:c r="L15" s="22" t="str">
        <x:v>S9</x:v>
      </x:c>
      <x:c r="M15" s="22" t="str">
        <x:v>Create payment/contract-management article</x:v>
      </x:c>
      <x:c r="N15" s="22" t="str">
        <x:v>P1</x:v>
      </x:c>
      <x:c r="O15" s="22" t="str">
        <x:v>Planned</x:v>
      </x:c>
      <x:c r="P15" s="22" t="str">
        <x:v>Post-action</x:v>
      </x:c>
    </x:row>
    <x:row r="16">
      <x:c r="A16" s="22" t="n">
        <x:v>12</x:v>
      </x:c>
      <x:c r="B16" s="46" t="n">
        <x:f>'Plan Settings'!$B$4+A16-1</x:f>
        <x:v>46334</x:v>
      </x:c>
      <x:c r="C16" s="22" t="n">
        <x:v>2</x:v>
      </x:c>
      <x:c r="D16" s="22" t="str">
        <x:v>C-NEED</x:v>
      </x:c>
      <x:c r="E16" s="22" t="str">
        <x:v>Điều kiện mở thẻ tín dụng Home Credit</x:v>
      </x:c>
      <x:c r="F16" s="22" t="str">
        <x:v>Credit Card</x:v>
      </x:c>
      <x:c r="G16" s="22" t="str">
        <x:v>Eligibility</x:v>
      </x:c>
      <x:c r="H16" s="22" t="str">
        <x:v>New article</x:v>
      </x:c>
      <x:c r="I16" s="22" t="str">
        <x:v>Create support URL</x:v>
      </x:c>
      <x:c r="J16" s="22" t="str">
        <x:v>Pillar C</x:v>
      </x:c>
      <x:c r="K16" s="22" t="str">
        <x:v>Medium</x:v>
      </x:c>
      <x:c r="L16" s="22" t="str">
        <x:v>S6</x:v>
      </x:c>
      <x:c r="M16" s="22" t="str">
        <x:v>Create eligibility article</x:v>
      </x:c>
      <x:c r="N16" s="22" t="str">
        <x:v>P1</x:v>
      </x:c>
      <x:c r="O16" s="22" t="str">
        <x:v>Planned</x:v>
      </x:c>
      <x:c r="P16" s="22" t="str">
        <x:v>No approval promise</x:v>
      </x:c>
    </x:row>
    <x:row r="17">
      <x:c r="A17" s="22" t="n">
        <x:v>13</x:v>
      </x:c>
      <x:c r="B17" s="46" t="n">
        <x:f>'Plan Settings'!$B$4+A17-1</x:f>
        <x:v>46335</x:v>
      </x:c>
      <x:c r="C17" s="22" t="n">
        <x:v>2</x:v>
      </x:c>
      <x:c r="D17" s="22" t="str">
        <x:v>C-STATEMENT</x:v>
      </x:c>
      <x:c r="E17" s="22" t="str">
        <x:v>Sao kê, ngày đến hạn và thanh toán tối thiểu</x:v>
      </x:c>
      <x:c r="F17" s="22" t="str">
        <x:v>Credit Card</x:v>
      </x:c>
      <x:c r="G17" s="22" t="str">
        <x:v>Billing</x:v>
      </x:c>
      <x:c r="H17" s="22" t="str">
        <x:v>New article</x:v>
      </x:c>
      <x:c r="I17" s="22" t="str">
        <x:v>Create support URL</x:v>
      </x:c>
      <x:c r="J17" s="22" t="str">
        <x:v>Pillar C</x:v>
      </x:c>
      <x:c r="K17" s="22" t="str">
        <x:v>Low</x:v>
      </x:c>
      <x:c r="L17" s="22" t="str">
        <x:v>S7/S8</x:v>
      </x:c>
      <x:c r="M17" s="22" t="str">
        <x:v>Create servicing article</x:v>
      </x:c>
      <x:c r="N17" s="22" t="str">
        <x:v>P1</x:v>
      </x:c>
      <x:c r="O17" s="22" t="str">
        <x:v>Planned</x:v>
      </x:c>
      <x:c r="P17" s="22" t="str">
        <x:v>Current rules</x:v>
      </x:c>
    </x:row>
    <x:row r="18">
      <x:c r="A18" s="22" t="n">
        <x:v>14</x:v>
      </x:c>
      <x:c r="B18" s="46" t="n">
        <x:f>'Plan Settings'!$B$4+A18-1</x:f>
        <x:v>46336</x:v>
      </x:c>
      <x:c r="C18" s="22" t="n">
        <x:v>2</x:v>
      </x:c>
      <x:c r="D18" s="22" t="str">
        <x:v>C-ACTIVATE</x:v>
      </x:c>
      <x:c r="E18" s="22" t="str">
        <x:v>Cách kích hoạt thẻ tín dụng Home Credit</x:v>
      </x:c>
      <x:c r="F18" s="22" t="str">
        <x:v>Credit Card</x:v>
      </x:c>
      <x:c r="G18" s="22" t="str">
        <x:v>Activation</x:v>
      </x:c>
      <x:c r="H18" s="22" t="str">
        <x:v>Conditional article</x:v>
      </x:c>
      <x:c r="I18" s="22" t="str">
        <x:v>Conditional URL</x:v>
      </x:c>
      <x:c r="J18" s="22" t="str">
        <x:v>Pillar C</x:v>
      </x:c>
      <x:c r="K18" s="22" t="str">
        <x:v>Low</x:v>
      </x:c>
      <x:c r="L18" s="22" t="str">
        <x:v>S7</x:v>
      </x:c>
      <x:c r="M18" s="22" t="str">
        <x:v>Create if SERP/utility justify, otherwise section</x:v>
      </x:c>
      <x:c r="N18" s="22" t="str">
        <x:v>P1</x:v>
      </x:c>
      <x:c r="O18" s="22" t="str">
        <x:v>Planned</x:v>
      </x:c>
      <x:c r="P18" s="22" t="str">
        <x:v>Post-approval</x:v>
      </x:c>
    </x:row>
    <x:row r="19">
      <x:c r="A19" s="22" t="n">
        <x:v>15</x:v>
      </x:c>
      <x:c r="B19" s="46" t="n">
        <x:f>'Plan Settings'!$B$4+A19-1</x:f>
        <x:v>46337</x:v>
      </x:c>
      <x:c r="C19" s="22" t="n">
        <x:v>3</x:v>
      </x:c>
      <x:c r="D19" s="22" t="str">
        <x:v>B-COMPARE</x:v>
      </x:c>
      <x:c r="E19" s="22" t="str">
        <x:v>Vay tiền mặt hay thẻ tín dụng Home Credit?</x:v>
      </x:c>
      <x:c r="F19" s="22" t="str">
        <x:v>Bridge</x:v>
      </x:c>
      <x:c r="G19" s="22" t="str">
        <x:v>Clarification</x:v>
      </x:c>
      <x:c r="H19" s="22" t="str">
        <x:v>New article</x:v>
      </x:c>
      <x:c r="I19" s="22" t="str">
        <x:v>Create bridge URL</x:v>
      </x:c>
      <x:c r="J19" s="22" t="str">
        <x:v>L↔C</x:v>
      </x:c>
      <x:c r="K19" s="22" t="str">
        <x:v>Low-Medium</x:v>
      </x:c>
      <x:c r="L19" s="22" t="str">
        <x:v>S1/S6/S8</x:v>
      </x:c>
      <x:c r="M19" s="22" t="str">
        <x:v>Create neutral comparison + owner links</x:v>
      </x:c>
      <x:c r="N19" s="22" t="str">
        <x:v>P1</x:v>
      </x:c>
      <x:c r="O19" s="22" t="str">
        <x:v>Planned</x:v>
      </x:c>
      <x:c r="P19" s="22" t="str">
        <x:v>No personalized recommendation</x:v>
      </x:c>
    </x:row>
    <x:row r="20">
      <x:c r="A20" s="22" t="n">
        <x:v>16</x:v>
      </x:c>
      <x:c r="B20" s="46" t="n">
        <x:f>'Plan Settings'!$B$4+A20-1</x:f>
        <x:v>46338</x:v>
      </x:c>
      <x:c r="C20" s="22" t="n">
        <x:v>3</x:v>
      </x:c>
      <x:c r="D20" s="22" t="str">
        <x:v>L-AGE</x:v>
      </x:c>
      <x:c r="E20" s="22" t="str">
        <x:v>Bao nhiêu tuổi được vay tiền mặt Home Credit?</x:v>
      </x:c>
      <x:c r="F20" s="22" t="str">
        <x:v>Cash Loan</x:v>
      </x:c>
      <x:c r="G20" s="22" t="str">
        <x:v>Eligibility</x:v>
      </x:c>
      <x:c r="H20" s="22" t="str">
        <x:v>Section/article review</x:v>
      </x:c>
      <x:c r="I20" s="22" t="str">
        <x:v>No new URL by default</x:v>
      </x:c>
      <x:c r="J20" s="22" t="str">
        <x:v>L-NEED</x:v>
      </x:c>
      <x:c r="K20" s="22" t="str">
        <x:v>Medium</x:v>
      </x:c>
      <x:c r="L20" s="22" t="str">
        <x:v>S3 + current Home Credit age page</x:v>
      </x:c>
      <x:c r="M20" s="22" t="str">
        <x:v>Add age section; split only if evidence warrants</x:v>
      </x:c>
      <x:c r="N20" s="22" t="str">
        <x:v>P1</x:v>
      </x:c>
      <x:c r="O20" s="22" t="str">
        <x:v>Planned</x:v>
      </x:c>
      <x:c r="P20" s="22" t="str">
        <x:v>YMYL</x:v>
      </x:c>
    </x:row>
    <x:row r="21">
      <x:c r="A21" s="22" t="n">
        <x:v>17</x:v>
      </x:c>
      <x:c r="B21" s="46" t="n">
        <x:f>'Plan Settings'!$B$4+A21-1</x:f>
        <x:v>46339</x:v>
      </x:c>
      <x:c r="C21" s="22" t="n">
        <x:v>3</x:v>
      </x:c>
      <x:c r="D21" s="22" t="str">
        <x:v>L-INCOME</x:v>
      </x:c>
      <x:c r="E21" s="22" t="str">
        <x:v>Vay Home Credit có cần chứng minh thu nhập?</x:v>
      </x:c>
      <x:c r="F21" s="22" t="str">
        <x:v>Cash Loan</x:v>
      </x:c>
      <x:c r="G21" s="22" t="str">
        <x:v>Eligibility</x:v>
      </x:c>
      <x:c r="H21" s="22" t="str">
        <x:v>Section first</x:v>
      </x:c>
      <x:c r="I21" s="22" t="str">
        <x:v>No new URL by default</x:v>
      </x:c>
      <x:c r="J21" s="22" t="str">
        <x:v>L-NEED</x:v>
      </x:c>
      <x:c r="K21" s="22" t="str">
        <x:v>Medium</x:v>
      </x:c>
      <x:c r="L21" s="22" t="str">
        <x:v>S3</x:v>
      </x:c>
      <x:c r="M21" s="22" t="str">
        <x:v>Expand docs section</x:v>
      </x:c>
      <x:c r="N21" s="22" t="str">
        <x:v>P1</x:v>
      </x:c>
      <x:c r="O21" s="22" t="str">
        <x:v>Planned</x:v>
      </x:c>
      <x:c r="P21" s="22" t="str">
        <x:v>Different by requested limit</x:v>
      </x:c>
    </x:row>
    <x:row r="22">
      <x:c r="A22" s="22" t="n">
        <x:v>18</x:v>
      </x:c>
      <x:c r="B22" s="46" t="n">
        <x:f>'Plan Settings'!$B$4+A22-1</x:f>
        <x:v>46340</x:v>
      </x:c>
      <x:c r="C22" s="22" t="n">
        <x:v>3</x:v>
      </x:c>
      <x:c r="D22" s="22" t="str">
        <x:v>L-LIMIT</x:v>
      </x:c>
      <x:c r="E22" s="22" t="str">
        <x:v>Hạn mức và kỳ hạn vay Home Credit</x:v>
      </x:c>
      <x:c r="F22" s="22" t="str">
        <x:v>Cash Loan</x:v>
      </x:c>
      <x:c r="G22" s="22" t="str">
        <x:v>Limit/term</x:v>
      </x:c>
      <x:c r="H22" s="22" t="str">
        <x:v>Section/table</x:v>
      </x:c>
      <x:c r="I22" s="22" t="str">
        <x:v>No new URL</x:v>
      </x:c>
      <x:c r="J22" s="22" t="str">
        <x:v>L-PILLAR</x:v>
      </x:c>
      <x:c r="K22" s="22" t="str">
        <x:v>Medium</x:v>
      </x:c>
      <x:c r="L22" s="22" t="str">
        <x:v>S1/S2</x:v>
      </x:c>
      <x:c r="M22" s="22" t="str">
        <x:v>Update product table</x:v>
      </x:c>
      <x:c r="N22" s="22" t="str">
        <x:v>P1</x:v>
      </x:c>
      <x:c r="O22" s="22" t="str">
        <x:v>Planned</x:v>
      </x:c>
      <x:c r="P22" s="22" t="str">
        <x:v>Dynamic</x:v>
      </x:c>
    </x:row>
    <x:row r="23">
      <x:c r="A23" s="22" t="n">
        <x:v>19</x:v>
      </x:c>
      <x:c r="B23" s="46" t="n">
        <x:f>'Plan Settings'!$B$4+A23-1</x:f>
        <x:v>46341</x:v>
      </x:c>
      <x:c r="C23" s="22" t="n">
        <x:v>3</x:v>
      </x:c>
      <x:c r="D23" s="22" t="str">
        <x:v>L-REAPPLY</x:v>
      </x:c>
      <x:c r="E23" s="22" t="str">
        <x:v>Bị từ chối thì khi nào đăng ký lại?</x:v>
      </x:c>
      <x:c r="F23" s="22" t="str">
        <x:v>Cash Loan</x:v>
      </x:c>
      <x:c r="G23" s="22" t="str">
        <x:v>Troubleshooting</x:v>
      </x:c>
      <x:c r="H23" s="22" t="str">
        <x:v>Section</x:v>
      </x:c>
      <x:c r="I23" s="22" t="str">
        <x:v>No new URL</x:v>
      </x:c>
      <x:c r="J23" s="22" t="str">
        <x:v>L-REJECT</x:v>
      </x:c>
      <x:c r="K23" s="22" t="str">
        <x:v>Low</x:v>
      </x:c>
      <x:c r="L23" s="22" t="str">
        <x:v>S4/S5</x:v>
      </x:c>
      <x:c r="M23" s="22" t="str">
        <x:v>Add cautious answer</x:v>
      </x:c>
      <x:c r="N23" s="22" t="str">
        <x:v>P1</x:v>
      </x:c>
      <x:c r="O23" s="22" t="str">
        <x:v>Planned</x:v>
      </x:c>
      <x:c r="P23" s="22" t="str">
        <x:v>Sources phrase differently</x:v>
      </x:c>
    </x:row>
    <x:row r="24">
      <x:c r="A24" s="22" t="n">
        <x:v>20</x:v>
      </x:c>
      <x:c r="B24" s="46" t="n">
        <x:f>'Plan Settings'!$B$4+A24-1</x:f>
        <x:v>46342</x:v>
      </x:c>
      <x:c r="C24" s="22" t="n">
        <x:v>3</x:v>
      </x:c>
      <x:c r="D24" s="22" t="str">
        <x:v>L-REPEAT</x:v>
      </x:c>
      <x:c r="E24" s="22" t="str">
        <x:v>Đang có khoản vay Home Credit có vay thêm được không?</x:v>
      </x:c>
      <x:c r="F24" s="22" t="str">
        <x:v>Cash Loan</x:v>
      </x:c>
      <x:c r="G24" s="22" t="str">
        <x:v>Repeat eligibility</x:v>
      </x:c>
      <x:c r="H24" s="22" t="str">
        <x:v>Conditional article</x:v>
      </x:c>
      <x:c r="I24" s="22" t="str">
        <x:v>Conditional URL</x:v>
      </x:c>
      <x:c r="J24" s="22" t="str">
        <x:v>Pillar L</x:v>
      </x:c>
      <x:c r="K24" s="22" t="str">
        <x:v>Low-Medium</x:v>
      </x:c>
      <x:c r="L24" s="22" t="str">
        <x:v>S4</x:v>
      </x:c>
      <x:c r="M24" s="22" t="str">
        <x:v>Create only if SERP distinct; otherwise FAQ</x:v>
      </x:c>
      <x:c r="N24" s="22" t="str">
        <x:v>P1</x:v>
      </x:c>
      <x:c r="O24" s="22" t="str">
        <x:v>Planned</x:v>
      </x:c>
      <x:c r="P24" s="22" t="str">
        <x:v>Offer-dependent</x:v>
      </x:c>
    </x:row>
    <x:row r="25">
      <x:c r="A25" s="22" t="n">
        <x:v>21</x:v>
      </x:c>
      <x:c r="B25" s="46" t="n">
        <x:f>'Plan Settings'!$B$4+A25-1</x:f>
        <x:v>46343</x:v>
      </x:c>
      <x:c r="C25" s="22" t="n">
        <x:v>3</x:v>
      </x:c>
      <x:c r="D25" s="22" t="str">
        <x:v>L-LATE</x:v>
      </x:c>
      <x:c r="E25" s="22" t="str">
        <x:v>Trễ hạn thanh toán Home Credit phải làm sao?</x:v>
      </x:c>
      <x:c r="F25" s="22" t="str">
        <x:v>Cash Loan</x:v>
      </x:c>
      <x:c r="G25" s="22" t="str">
        <x:v>Troubleshooting</x:v>
      </x:c>
      <x:c r="H25" s="22" t="str">
        <x:v>Section/support</x:v>
      </x:c>
      <x:c r="I25" s="22" t="str">
        <x:v>No new URL by default</x:v>
      </x:c>
      <x:c r="J25" s="22" t="str">
        <x:v>L-PAY</x:v>
      </x:c>
      <x:c r="K25" s="22" t="str">
        <x:v>Low</x:v>
      </x:c>
      <x:c r="L25" s="22" t="str">
        <x:v>Official current guidance</x:v>
      </x:c>
      <x:c r="M25" s="22" t="str">
        <x:v>Expand late-payment section</x:v>
      </x:c>
      <x:c r="N25" s="22" t="str">
        <x:v>P1</x:v>
      </x:c>
      <x:c r="O25" s="22" t="str">
        <x:v>Planned</x:v>
      </x:c>
      <x:c r="P25" s="22" t="str">
        <x:v>No avoidance advice</x:v>
      </x:c>
    </x:row>
    <x:row r="26">
      <x:c r="A26" s="22" t="n">
        <x:v>22</x:v>
      </x:c>
      <x:c r="B26" s="46" t="n">
        <x:f>'Plan Settings'!$B$4+A26-1</x:f>
        <x:v>46344</x:v>
      </x:c>
      <x:c r="C26" s="22" t="n">
        <x:v>4</x:v>
      </x:c>
      <x:c r="D26" s="22" t="str">
        <x:v>L-EARLY</x:v>
      </x:c>
      <x:c r="E26" s="22" t="str">
        <x:v>Tất toán Home Credit trước hạn có phí không?</x:v>
      </x:c>
      <x:c r="F26" s="22" t="str">
        <x:v>Cash Loan</x:v>
      </x:c>
      <x:c r="G26" s="22" t="str">
        <x:v>Cost/servicing</x:v>
      </x:c>
      <x:c r="H26" s="22" t="str">
        <x:v>Conditional article</x:v>
      </x:c>
      <x:c r="I26" s="22" t="str">
        <x:v>Conditional URL</x:v>
      </x:c>
      <x:c r="J26" s="22" t="str">
        <x:v>L-COST</x:v>
      </x:c>
      <x:c r="K26" s="22" t="str">
        <x:v>Low</x:v>
      </x:c>
      <x:c r="L26" s="22" t="str">
        <x:v>Latest contract/fee terms</x:v>
      </x:c>
      <x:c r="M26" s="22" t="str">
        <x:v>Create if enough evidence; else section</x:v>
      </x:c>
      <x:c r="N26" s="22" t="str">
        <x:v>P1</x:v>
      </x:c>
      <x:c r="O26" s="22" t="str">
        <x:v>Planned</x:v>
      </x:c>
      <x:c r="P26" s="22" t="str">
        <x:v>Contract-specific</x:v>
      </x:c>
    </x:row>
    <x:row r="27">
      <x:c r="A27" s="22" t="n">
        <x:v>23</x:v>
      </x:c>
      <x:c r="B27" s="46" t="n">
        <x:f>'Plan Settings'!$B$4+A27-1</x:f>
        <x:v>46345</x:v>
      </x:c>
      <x:c r="C27" s="22" t="n">
        <x:v>4</x:v>
      </x:c>
      <x:c r="D27" s="22" t="str">
        <x:v>L-INSURANCE</x:v>
      </x:c>
      <x:c r="E27" s="22" t="str">
        <x:v>Bảo hiểm khoản vay Home Credit có bắt buộc không?</x:v>
      </x:c>
      <x:c r="F27" s="22" t="str">
        <x:v>Cash Loan</x:v>
      </x:c>
      <x:c r="G27" s="22" t="str">
        <x:v>Cost/decision</x:v>
      </x:c>
      <x:c r="H27" s="22" t="str">
        <x:v>Section</x:v>
      </x:c>
      <x:c r="I27" s="22" t="str">
        <x:v>No new URL</x:v>
      </x:c>
      <x:c r="J27" s="22" t="str">
        <x:v>L-COST</x:v>
      </x:c>
      <x:c r="K27" s="22" t="str">
        <x:v>Medium</x:v>
      </x:c>
      <x:c r="L27" s="22" t="str">
        <x:v>S1 + current contract</x:v>
      </x:c>
      <x:c r="M27" s="22" t="str">
        <x:v>Add clear optional/contract condition answer</x:v>
      </x:c>
      <x:c r="N27" s="22" t="str">
        <x:v>P1</x:v>
      </x:c>
      <x:c r="O27" s="22" t="str">
        <x:v>Planned</x:v>
      </x:c>
      <x:c r="P27" s="22" t="str">
        <x:v>Source-sensitive</x:v>
      </x:c>
    </x:row>
    <x:row r="28">
      <x:c r="A28" s="22" t="n">
        <x:v>24</x:v>
      </x:c>
      <x:c r="B28" s="46" t="n">
        <x:f>'Plan Settings'!$B$4+A28-1</x:f>
        <x:v>46346</x:v>
      </x:c>
      <x:c r="C28" s="22" t="n">
        <x:v>4</x:v>
      </x:c>
      <x:c r="D28" s="22" t="str">
        <x:v>L-SAFETY</x:v>
      </x:c>
      <x:c r="E28" s="22" t="str">
        <x:v>Link/app vay Home Credit nào là chính thức?</x:v>
      </x:c>
      <x:c r="F28" s="22" t="str">
        <x:v>Cash Loan</x:v>
      </x:c>
      <x:c r="G28" s="22" t="str">
        <x:v>Trust</x:v>
      </x:c>
      <x:c r="H28" s="22" t="str">
        <x:v>Section/support</x:v>
      </x:c>
      <x:c r="I28" s="22" t="str">
        <x:v>No new URL by default</x:v>
      </x:c>
      <x:c r="J28" s="22" t="str">
        <x:v>L-PILLAR</x:v>
      </x:c>
      <x:c r="K28" s="22" t="str">
        <x:v>Medium</x:v>
      </x:c>
      <x:c r="L28" s="22" t="str">
        <x:v>S1/S11</x:v>
      </x:c>
      <x:c r="M28" s="22" t="str">
        <x:v>Add affiliate disclosure + official-channel safety</x:v>
      </x:c>
      <x:c r="N28" s="22" t="str">
        <x:v>P1</x:v>
      </x:c>
      <x:c r="O28" s="22" t="str">
        <x:v>Planned</x:v>
      </x:c>
      <x:c r="P28" s="22" t="str">
        <x:v>Trust layer</x:v>
      </x:c>
    </x:row>
    <x:row r="29">
      <x:c r="A29" s="22" t="n">
        <x:v>25</x:v>
      </x:c>
      <x:c r="B29" s="46" t="n">
        <x:f>'Plan Settings'!$B$4+A29-1</x:f>
        <x:v>46347</x:v>
      </x:c>
      <x:c r="C29" s="22" t="n">
        <x:v>4</x:v>
      </x:c>
      <x:c r="D29" s="22" t="str">
        <x:v>L-FAQ</x:v>
      </x:c>
      <x:c r="E29" s="22" t="str">
        <x:v>Mở rộng FAQ vay Home Credit từ query mới</x:v>
      </x:c>
      <x:c r="F29" s="22" t="str">
        <x:v>Cash Loan</x:v>
      </x:c>
      <x:c r="G29" s="22" t="str">
        <x:v>Question expansion</x:v>
      </x:c>
      <x:c r="H29" s="22" t="str">
        <x:v>Update existing</x:v>
      </x:c>
      <x:c r="I29" s="22" t="str">
        <x:v>No new URL</x:v>
      </x:c>
      <x:c r="J29" s="22" t="str">
        <x:v>L-PILLAR</x:v>
      </x:c>
      <x:c r="K29" s="22" t="str">
        <x:v>Medium</x:v>
      </x:c>
      <x:c r="L29" s="22" t="str">
        <x:v>Search Console + S1/S2</x:v>
      </x:c>
      <x:c r="M29" s="22" t="str">
        <x:v>Add only useful sourced questions</x:v>
      </x:c>
      <x:c r="N29" s="22" t="str">
        <x:v>P1</x:v>
      </x:c>
      <x:c r="O29" s="22" t="str">
        <x:v>Planned</x:v>
      </x:c>
      <x:c r="P29" s="22" t="str">
        <x:v>No thin pages</x:v>
      </x:c>
    </x:row>
    <x:row r="30">
      <x:c r="A30" s="22" t="n">
        <x:v>26</x:v>
      </x:c>
      <x:c r="B30" s="46" t="n">
        <x:f>'Plan Settings'!$B$4+A30-1</x:f>
        <x:v>46348</x:v>
      </x:c>
      <x:c r="C30" s="22" t="n">
        <x:v>4</x:v>
      </x:c>
      <x:c r="D30" s="22" t="str">
        <x:v>C-LIMIT</x:v>
      </x:c>
      <x:c r="E30" s="22" t="str">
        <x:v>Hạn mức thẻ Home Credit bao nhiêu?</x:v>
      </x:c>
      <x:c r="F30" s="22" t="str">
        <x:v>Credit Card</x:v>
      </x:c>
      <x:c r="G30" s="22" t="str">
        <x:v>Limit</x:v>
      </x:c>
      <x:c r="H30" s="22" t="str">
        <x:v>Section</x:v>
      </x:c>
      <x:c r="I30" s="22" t="str">
        <x:v>No new URL</x:v>
      </x:c>
      <x:c r="J30" s="22" t="str">
        <x:v>C-PILLAR</x:v>
      </x:c>
      <x:c r="K30" s="22" t="str">
        <x:v>Medium</x:v>
      </x:c>
      <x:c r="L30" s="22" t="str">
        <x:v>S7</x:v>
      </x:c>
      <x:c r="M30" s="22" t="str">
        <x:v>Add direct answer with underwriting caveat</x:v>
      </x:c>
      <x:c r="N30" s="22" t="str">
        <x:v>P1</x:v>
      </x:c>
      <x:c r="O30" s="22" t="str">
        <x:v>Planned</x:v>
      </x:c>
      <x:c r="P30" s="22" t="str">
        <x:v>Dynamic</x:v>
      </x:c>
    </x:row>
    <x:row r="31">
      <x:c r="A31" s="22" t="n">
        <x:v>27</x:v>
      </x:c>
      <x:c r="B31" s="46" t="n">
        <x:f>'Plan Settings'!$B$4+A31-1</x:f>
        <x:v>46349</x:v>
      </x:c>
      <x:c r="C31" s="22" t="n">
        <x:v>4</x:v>
      </x:c>
      <x:c r="D31" s="22" t="str">
        <x:v>C-INCOME</x:v>
      </x:c>
      <x:c r="E31" s="22" t="str">
        <x:v>Mở thẻ Home Credit có cần chứng minh thu nhập?</x:v>
      </x:c>
      <x:c r="F31" s="22" t="str">
        <x:v>Credit Card</x:v>
      </x:c>
      <x:c r="G31" s="22" t="str">
        <x:v>Eligibility</x:v>
      </x:c>
      <x:c r="H31" s="22" t="str">
        <x:v>FAQ</x:v>
      </x:c>
      <x:c r="I31" s="22" t="str">
        <x:v>No new URL</x:v>
      </x:c>
      <x:c r="J31" s="22" t="str">
        <x:v>C-NEED</x:v>
      </x:c>
      <x:c r="K31" s="22" t="str">
        <x:v>Medium</x:v>
      </x:c>
      <x:c r="L31" s="22" t="str">
        <x:v>S6</x:v>
      </x:c>
      <x:c r="M31" s="22" t="str">
        <x:v>Add direct answer + approval caveat</x:v>
      </x:c>
      <x:c r="N31" s="22" t="str">
        <x:v>P1</x:v>
      </x:c>
      <x:c r="O31" s="22" t="str">
        <x:v>Planned</x:v>
      </x:c>
      <x:c r="P31" s="22" t="str">
        <x:v>Current product claim</x:v>
      </x:c>
    </x:row>
    <x:row r="32">
      <x:c r="A32" s="22" t="n">
        <x:v>28</x:v>
      </x:c>
      <x:c r="B32" s="46" t="n">
        <x:f>'Plan Settings'!$B$4+A32-1</x:f>
        <x:v>46350</x:v>
      </x:c>
      <x:c r="C32" s="22" t="n">
        <x:v>4</x:v>
      </x:c>
      <x:c r="D32" s="22" t="str">
        <x:v>C-DUE</x:v>
      </x:c>
      <x:c r="E32" s="22" t="str">
        <x:v>Thẻ Home Credit thanh toán ngày nào?</x:v>
      </x:c>
      <x:c r="F32" s="22" t="str">
        <x:v>Credit Card</x:v>
      </x:c>
      <x:c r="G32" s="22" t="str">
        <x:v>Billing</x:v>
      </x:c>
      <x:c r="H32" s="22" t="str">
        <x:v>Section/FAQ</x:v>
      </x:c>
      <x:c r="I32" s="22" t="str">
        <x:v>No new URL</x:v>
      </x:c>
      <x:c r="J32" s="22" t="str">
        <x:v>C-STATEMENT</x:v>
      </x:c>
      <x:c r="K32" s="22" t="str">
        <x:v>Low</x:v>
      </x:c>
      <x:c r="L32" s="22" t="str">
        <x:v>S7</x:v>
      </x:c>
      <x:c r="M32" s="22" t="str">
        <x:v>Expand due-date answer</x:v>
      </x:c>
      <x:c r="N32" s="22" t="str">
        <x:v>P1</x:v>
      </x:c>
      <x:c r="O32" s="22" t="str">
        <x:v>Planned</x:v>
      </x:c>
      <x:c r="P32" s="22" t="str">
        <x:v>Servicing</x:v>
      </x:c>
    </x:row>
    <x:row r="33">
      <x:c r="A33" s="22" t="n">
        <x:v>29</x:v>
      </x:c>
      <x:c r="B33" s="46" t="n">
        <x:f>'Plan Settings'!$B$4+A33-1</x:f>
        <x:v>46351</x:v>
      </x:c>
      <x:c r="C33" s="22" t="n">
        <x:v>5</x:v>
      </x:c>
      <x:c r="D33" s="22" t="str">
        <x:v>C-MIN</x:v>
      </x:c>
      <x:c r="E33" s="22" t="str">
        <x:v>Thanh toán tối thiểu thẻ Home Credit là bao nhiêu?</x:v>
      </x:c>
      <x:c r="F33" s="22" t="str">
        <x:v>Credit Card</x:v>
      </x:c>
      <x:c r="G33" s="22" t="str">
        <x:v>Billing/cost</x:v>
      </x:c>
      <x:c r="H33" s="22" t="str">
        <x:v>Section/article review</x:v>
      </x:c>
      <x:c r="I33" s="22" t="str">
        <x:v>No new URL by default</x:v>
      </x:c>
      <x:c r="J33" s="22" t="str">
        <x:v>C-STATEMENT</x:v>
      </x:c>
      <x:c r="K33" s="22" t="str">
        <x:v>Low</x:v>
      </x:c>
      <x:c r="L33" s="22" t="str">
        <x:v>S7/S8</x:v>
      </x:c>
      <x:c r="M33" s="22" t="str">
        <x:v>Use current formula; split only if query data strong</x:v>
      </x:c>
      <x:c r="N33" s="22" t="str">
        <x:v>P0</x:v>
      </x:c>
      <x:c r="O33" s="22" t="str">
        <x:v>Planned</x:v>
      </x:c>
      <x:c r="P33" s="22" t="str">
        <x:v>High cost relevance</x:v>
      </x:c>
    </x:row>
    <x:row r="34">
      <x:c r="A34" s="22" t="n">
        <x:v>30</x:v>
      </x:c>
      <x:c r="B34" s="46" t="n">
        <x:f>'Plan Settings'!$B$4+A34-1</x:f>
        <x:v>46352</x:v>
      </x:c>
      <x:c r="C34" s="22" t="n">
        <x:v>5</x:v>
      </x:c>
      <x:c r="D34" s="22" t="str">
        <x:v>C-STATEMENT2</x:v>
      </x:c>
      <x:c r="E34" s="22" t="str">
        <x:v>Cách xem sao kê và dư nợ thẻ Home Credit</x:v>
      </x:c>
      <x:c r="F34" s="22" t="str">
        <x:v>Credit Card</x:v>
      </x:c>
      <x:c r="G34" s="22" t="str">
        <x:v>Servicing</x:v>
      </x:c>
      <x:c r="H34" s="22" t="str">
        <x:v>Section/article review</x:v>
      </x:c>
      <x:c r="I34" s="22" t="str">
        <x:v>No new URL by default</x:v>
      </x:c>
      <x:c r="J34" s="22" t="str">
        <x:v>C-STATEMENT</x:v>
      </x:c>
      <x:c r="K34" s="22" t="str">
        <x:v>Low</x:v>
      </x:c>
      <x:c r="L34" s="22" t="str">
        <x:v>S7 + current blog</x:v>
      </x:c>
      <x:c r="M34" s="22" t="str">
        <x:v>Expand how-to</x:v>
      </x:c>
      <x:c r="N34" s="22" t="str">
        <x:v>P1</x:v>
      </x:c>
      <x:c r="O34" s="22" t="str">
        <x:v>Planned</x:v>
      </x:c>
      <x:c r="P34" s="22" t="str">
        <x:v>App UI may change</x:v>
      </x:c>
    </x:row>
    <x:row r="35">
      <x:c r="A35" s="22" t="n">
        <x:v>31</x:v>
      </x:c>
      <x:c r="B35" s="46" t="n">
        <x:f>'Plan Settings'!$B$4+A35-1</x:f>
        <x:v>46353</x:v>
      </x:c>
      <x:c r="C35" s="22" t="n">
        <x:v>5</x:v>
      </x:c>
      <x:c r="D35" s="22" t="str">
        <x:v>C-LIMIT-UP</x:v>
      </x:c>
      <x:c r="E35" s="22" t="str">
        <x:v>Có thể tăng hạn mức thẻ Home Credit không?</x:v>
      </x:c>
      <x:c r="F35" s="22" t="str">
        <x:v>Credit Card</x:v>
      </x:c>
      <x:c r="G35" s="22" t="str">
        <x:v>Limit management</x:v>
      </x:c>
      <x:c r="H35" s="22" t="str">
        <x:v>FAQ</x:v>
      </x:c>
      <x:c r="I35" s="22" t="str">
        <x:v>No new URL</x:v>
      </x:c>
      <x:c r="J35" s="22" t="str">
        <x:v>C-PILLAR</x:v>
      </x:c>
      <x:c r="K35" s="22" t="str">
        <x:v>Low</x:v>
      </x:c>
      <x:c r="L35" s="22" t="str">
        <x:v>S7</x:v>
      </x:c>
      <x:c r="M35" s="22" t="str">
        <x:v>Add system-assessment answer</x:v>
      </x:c>
      <x:c r="N35" s="22" t="str">
        <x:v>P1</x:v>
      </x:c>
      <x:c r="O35" s="22" t="str">
        <x:v>Planned</x:v>
      </x:c>
      <x:c r="P35" s="22" t="str">
        <x:v>No guarantee</x:v>
      </x:c>
    </x:row>
    <x:row r="36">
      <x:c r="A36" s="22" t="n">
        <x:v>32</x:v>
      </x:c>
      <x:c r="B36" s="46" t="n">
        <x:f>'Plan Settings'!$B$4+A36-1</x:f>
        <x:v>46354</x:v>
      </x:c>
      <x:c r="C36" s="22" t="n">
        <x:v>5</x:v>
      </x:c>
      <x:c r="D36" s="22" t="str">
        <x:v>C-LATE</x:v>
      </x:c>
      <x:c r="E36" s="22" t="str">
        <x:v>Thanh toán trễ thẻ Home Credit có sao không?</x:v>
      </x:c>
      <x:c r="F36" s="22" t="str">
        <x:v>Credit Card</x:v>
      </x:c>
      <x:c r="G36" s="22" t="str">
        <x:v>Late payment</x:v>
      </x:c>
      <x:c r="H36" s="22" t="str">
        <x:v>Section/support</x:v>
      </x:c>
      <x:c r="I36" s="22" t="str">
        <x:v>No new URL by default</x:v>
      </x:c>
      <x:c r="J36" s="22" t="str">
        <x:v>C-STATEMENT</x:v>
      </x:c>
      <x:c r="K36" s="22" t="str">
        <x:v>Low</x:v>
      </x:c>
      <x:c r="L36" s="22" t="str">
        <x:v>S7/S8</x:v>
      </x:c>
      <x:c r="M36" s="22" t="str">
        <x:v>Add consequences + support path</x:v>
      </x:c>
      <x:c r="N36" s="22" t="str">
        <x:v>P1</x:v>
      </x:c>
      <x:c r="O36" s="22" t="str">
        <x:v>Planned</x:v>
      </x:c>
      <x:c r="P36" s="22" t="str">
        <x:v>YMYL</x:v>
      </x:c>
    </x:row>
    <x:row r="37">
      <x:c r="A37" s="22" t="n">
        <x:v>33</x:v>
      </x:c>
      <x:c r="B37" s="46" t="n">
        <x:f>'Plan Settings'!$B$4+A37-1</x:f>
        <x:v>46355</x:v>
      </x:c>
      <x:c r="C37" s="22" t="n">
        <x:v>5</x:v>
      </x:c>
      <x:c r="D37" s="22" t="str">
        <x:v>C-TYPES</x:v>
      </x:c>
      <x:c r="E37" s="22" t="str">
        <x:v>Thẻ tín dụng trực tuyến và thẻ Home Credit khác nhau?</x:v>
      </x:c>
      <x:c r="F37" s="22" t="str">
        <x:v>Credit Card</x:v>
      </x:c>
      <x:c r="G37" s="22" t="str">
        <x:v>Product clarification</x:v>
      </x:c>
      <x:c r="H37" s="22" t="str">
        <x:v>Section/article review</x:v>
      </x:c>
      <x:c r="I37" s="22" t="str">
        <x:v>Conditional URL</x:v>
      </x:c>
      <x:c r="J37" s="22" t="str">
        <x:v>C-PILLAR</x:v>
      </x:c>
      <x:c r="K37" s="22" t="str">
        <x:v>Low</x:v>
      </x:c>
      <x:c r="L37" s="22" t="str">
        <x:v>S8</x:v>
      </x:c>
      <x:c r="M37" s="22" t="str">
        <x:v>Compare only current tariff/product differences</x:v>
      </x:c>
      <x:c r="N37" s="22" t="str">
        <x:v>P1</x:v>
      </x:c>
      <x:c r="O37" s="22" t="str">
        <x:v>Planned</x:v>
      </x:c>
      <x:c r="P37" s="22" t="str">
        <x:v>High volatility</x:v>
      </x:c>
    </x:row>
    <x:row r="38">
      <x:c r="A38" s="22" t="n">
        <x:v>34</x:v>
      </x:c>
      <x:c r="B38" s="46" t="n">
        <x:f>'Plan Settings'!$B$4+A38-1</x:f>
        <x:v>46356</x:v>
      </x:c>
      <x:c r="C38" s="22" t="n">
        <x:v>5</x:v>
      </x:c>
      <x:c r="D38" s="22" t="str">
        <x:v>C-SAFETY</x:v>
      </x:c>
      <x:c r="E38" s="22" t="str">
        <x:v>Link mở thẻ Home Credit có an toàn không?</x:v>
      </x:c>
      <x:c r="F38" s="22" t="str">
        <x:v>Credit Card</x:v>
      </x:c>
      <x:c r="G38" s="22" t="str">
        <x:v>Trust</x:v>
      </x:c>
      <x:c r="H38" s="22" t="str">
        <x:v>Section/support</x:v>
      </x:c>
      <x:c r="I38" s="22" t="str">
        <x:v>No new URL by default</x:v>
      </x:c>
      <x:c r="J38" s="22" t="str">
        <x:v>C-PILLAR</x:v>
      </x:c>
      <x:c r="K38" s="22" t="str">
        <x:v>Medium</x:v>
      </x:c>
      <x:c r="L38" s="22" t="str">
        <x:v>S6/S11</x:v>
      </x:c>
      <x:c r="M38" s="22" t="str">
        <x:v>Add affiliate/official-channel disclosure</x:v>
      </x:c>
      <x:c r="N38" s="22" t="str">
        <x:v>P1</x:v>
      </x:c>
      <x:c r="O38" s="22" t="str">
        <x:v>Planned</x:v>
      </x:c>
      <x:c r="P38" s="22" t="str">
        <x:v>Trust conversion</x:v>
      </x:c>
    </x:row>
    <x:row r="39">
      <x:c r="A39" s="22" t="n">
        <x:v>35</x:v>
      </x:c>
      <x:c r="B39" s="46" t="n">
        <x:f>'Plan Settings'!$B$4+A39-1</x:f>
        <x:v>46357</x:v>
      </x:c>
      <x:c r="C39" s="22" t="n">
        <x:v>5</x:v>
      </x:c>
      <x:c r="D39" s="22" t="str">
        <x:v>C-FAQ</x:v>
      </x:c>
      <x:c r="E39" s="22" t="str">
        <x:v>Mở rộng FAQ thẻ Home Credit từ query mới</x:v>
      </x:c>
      <x:c r="F39" s="22" t="str">
        <x:v>Credit Card</x:v>
      </x:c>
      <x:c r="G39" s="22" t="str">
        <x:v>Question expansion</x:v>
      </x:c>
      <x:c r="H39" s="22" t="str">
        <x:v>Update existing</x:v>
      </x:c>
      <x:c r="I39" s="22" t="str">
        <x:v>No new URL</x:v>
      </x:c>
      <x:c r="J39" s="22" t="str">
        <x:v>C-PILLAR</x:v>
      </x:c>
      <x:c r="K39" s="22" t="str">
        <x:v>Medium</x:v>
      </x:c>
      <x:c r="L39" s="22" t="str">
        <x:v>Search Console + S7/S8</x:v>
      </x:c>
      <x:c r="M39" s="22" t="str">
        <x:v>Add sourced FAQs</x:v>
      </x:c>
      <x:c r="N39" s="22" t="str">
        <x:v>P1</x:v>
      </x:c>
      <x:c r="O39" s="22" t="str">
        <x:v>Planned</x:v>
      </x:c>
      <x:c r="P39" s="22" t="str">
        <x:v>No thin pages</x:v>
      </x:c>
    </x:row>
    <x:row r="40">
      <x:c r="A40" s="22" t="n">
        <x:v>36</x:v>
      </x:c>
      <x:c r="B40" s="46" t="n">
        <x:f>'Plan Settings'!$B$4+A40-1</x:f>
        <x:v>46358</x:v>
      </x:c>
      <x:c r="C40" s="22" t="n">
        <x:v>6</x:v>
      </x:c>
      <x:c r="D40" s="22" t="str">
        <x:v>L-SOURCE</x:v>
      </x:c>
      <x:c r="E40" s="22" t="str">
        <x:v>Rà nguồn và con số Pillar L</x:v>
      </x:c>
      <x:c r="F40" s="22" t="str">
        <x:v>Cash Loan</x:v>
      </x:c>
      <x:c r="G40" s="22" t="str">
        <x:v>Trust/freshness</x:v>
      </x:c>
      <x:c r="H40" s="22" t="str">
        <x:v>Update existing</x:v>
      </x:c>
      <x:c r="I40" s="22" t="str">
        <x:v>No new URL</x:v>
      </x:c>
      <x:c r="J40" s="22" t="str">
        <x:v>Pillar L</x:v>
      </x:c>
      <x:c r="K40" s="22" t="str">
        <x:v>High</x:v>
      </x:c>
      <x:c r="L40" s="22" t="str">
        <x:v>S1/S2/S3</x:v>
      </x:c>
      <x:c r="M40" s="22" t="str">
        <x:v>Refresh only changed facts/date</x:v>
      </x:c>
      <x:c r="N40" s="22" t="str">
        <x:v>P0</x:v>
      </x:c>
      <x:c r="O40" s="22" t="str">
        <x:v>Planned</x:v>
      </x:c>
      <x:c r="P40" s="22" t="str">
        <x:v>No fake freshness</x:v>
      </x:c>
    </x:row>
    <x:row r="41">
      <x:c r="A41" s="22" t="n">
        <x:v>37</x:v>
      </x:c>
      <x:c r="B41" s="46" t="n">
        <x:f>'Plan Settings'!$B$4+A41-1</x:f>
        <x:v>46359</x:v>
      </x:c>
      <x:c r="C41" s="22" t="n">
        <x:v>6</x:v>
      </x:c>
      <x:c r="D41" s="22" t="str">
        <x:v>C-SOURCE</x:v>
      </x:c>
      <x:c r="E41" s="22" t="str">
        <x:v>Rà biểu phí mới nhất Pillar C</x:v>
      </x:c>
      <x:c r="F41" s="22" t="str">
        <x:v>Credit Card</x:v>
      </x:c>
      <x:c r="G41" s="22" t="str">
        <x:v>Trust/freshness</x:v>
      </x:c>
      <x:c r="H41" s="22" t="str">
        <x:v>Update existing</x:v>
      </x:c>
      <x:c r="I41" s="22" t="str">
        <x:v>No new URL</x:v>
      </x:c>
      <x:c r="J41" s="22" t="str">
        <x:v>Pillar C</x:v>
      </x:c>
      <x:c r="K41" s="22" t="str">
        <x:v>High</x:v>
      </x:c>
      <x:c r="L41" s="22" t="str">
        <x:v>S8</x:v>
      </x:c>
      <x:c r="M41" s="22" t="str">
        <x:v>Check latest effective tariff</x:v>
      </x:c>
      <x:c r="N41" s="22" t="str">
        <x:v>P0</x:v>
      </x:c>
      <x:c r="O41" s="22" t="str">
        <x:v>Planned</x:v>
      </x:c>
      <x:c r="P41" s="22" t="str">
        <x:v>Very high volatility</x:v>
      </x:c>
    </x:row>
    <x:row r="42">
      <x:c r="A42" s="22" t="n">
        <x:v>38</x:v>
      </x:c>
      <x:c r="B42" s="46" t="n">
        <x:f>'Plan Settings'!$B$4+A42-1</x:f>
        <x:v>46360</x:v>
      </x:c>
      <x:c r="C42" s="22" t="n">
        <x:v>6</x:v>
      </x:c>
      <x:c r="D42" s="22" t="str">
        <x:v>LINK-L</x:v>
      </x:c>
      <x:c r="E42" s="22" t="str">
        <x:v>Tối ưu internal links loan cluster</x:v>
      </x:c>
      <x:c r="F42" s="22" t="str">
        <x:v>Cash Loan</x:v>
      </x:c>
      <x:c r="G42" s="22" t="str">
        <x:v>Internal linking</x:v>
      </x:c>
      <x:c r="H42" s="22" t="str">
        <x:v>Update existing</x:v>
      </x:c>
      <x:c r="I42" s="22" t="str">
        <x:v>No new URL</x:v>
      </x:c>
      <x:c r="J42" s="22" t="str">
        <x:v>Loan cluster</x:v>
      </x:c>
      <x:c r="K42" s="22" t="str">
        <x:v>Medium</x:v>
      </x:c>
      <x:c r="L42" s="22" t="str">
        <x:v>Current graph</x:v>
      </x:c>
      <x:c r="M42" s="22" t="str">
        <x:v>Add descriptive anchors by intent</x:v>
      </x:c>
      <x:c r="N42" s="22" t="str">
        <x:v>P1</x:v>
      </x:c>
      <x:c r="O42" s="22" t="str">
        <x:v>Planned</x:v>
      </x:c>
      <x:c r="P42" s="22" t="str">
        <x:v>No overlinking</x:v>
      </x:c>
    </x:row>
    <x:row r="43">
      <x:c r="A43" s="22" t="n">
        <x:v>39</x:v>
      </x:c>
      <x:c r="B43" s="46" t="n">
        <x:f>'Plan Settings'!$B$4+A43-1</x:f>
        <x:v>46361</x:v>
      </x:c>
      <x:c r="C43" s="22" t="n">
        <x:v>6</x:v>
      </x:c>
      <x:c r="D43" s="22" t="str">
        <x:v>LINK-C</x:v>
      </x:c>
      <x:c r="E43" s="22" t="str">
        <x:v>Tối ưu internal links card cluster</x:v>
      </x:c>
      <x:c r="F43" s="22" t="str">
        <x:v>Credit Card</x:v>
      </x:c>
      <x:c r="G43" s="22" t="str">
        <x:v>Internal linking</x:v>
      </x:c>
      <x:c r="H43" s="22" t="str">
        <x:v>Update existing</x:v>
      </x:c>
      <x:c r="I43" s="22" t="str">
        <x:v>No new URL</x:v>
      </x:c>
      <x:c r="J43" s="22" t="str">
        <x:v>Card cluster</x:v>
      </x:c>
      <x:c r="K43" s="22" t="str">
        <x:v>Medium</x:v>
      </x:c>
      <x:c r="L43" s="22" t="str">
        <x:v>Current graph</x:v>
      </x:c>
      <x:c r="M43" s="22" t="str">
        <x:v>Add descriptive anchors by intent</x:v>
      </x:c>
      <x:c r="N43" s="22" t="str">
        <x:v>P1</x:v>
      </x:c>
      <x:c r="O43" s="22" t="str">
        <x:v>Planned</x:v>
      </x:c>
      <x:c r="P43" s="22" t="str">
        <x:v>No overlinking</x:v>
      </x:c>
    </x:row>
    <x:row r="44">
      <x:c r="A44" s="22" t="n">
        <x:v>40</x:v>
      </x:c>
      <x:c r="B44" s="46" t="n">
        <x:f>'Plan Settings'!$B$4+A44-1</x:f>
        <x:v>46362</x:v>
      </x:c>
      <x:c r="C44" s="22" t="n">
        <x:v>6</x:v>
      </x:c>
      <x:c r="D44" s="22" t="str">
        <x:v>LINK-BRIDGE</x:v>
      </x:c>
      <x:c r="E44" s="22" t="str">
        <x:v>Tối ưu Loan ↔ Card bridge links</x:v>
      </x:c>
      <x:c r="F44" s="22" t="str">
        <x:v>Bridge</x:v>
      </x:c>
      <x:c r="G44" s="22" t="str">
        <x:v>Internal linking</x:v>
      </x:c>
      <x:c r="H44" s="22" t="str">
        <x:v>Update existing</x:v>
      </x:c>
      <x:c r="I44" s="22" t="str">
        <x:v>No new URL</x:v>
      </x:c>
      <x:c r="J44" s="22" t="str">
        <x:v>L/C/Bridge</x:v>
      </x:c>
      <x:c r="K44" s="22" t="str">
        <x:v>Medium</x:v>
      </x:c>
      <x:c r="L44" s="22" t="str">
        <x:v>Current graph</x:v>
      </x:c>
      <x:c r="M44" s="22" t="str">
        <x:v>Route product ambiguity</x:v>
      </x:c>
      <x:c r="N44" s="22" t="str">
        <x:v>P1</x:v>
      </x:c>
      <x:c r="O44" s="22" t="str">
        <x:v>Planned</x:v>
      </x:c>
      <x:c r="P44" s="22" t="str">
        <x:v>Entity clarity</x:v>
      </x:c>
    </x:row>
    <x:row r="45">
      <x:c r="A45" s="22" t="n">
        <x:v>41</x:v>
      </x:c>
      <x:c r="B45" s="46" t="n">
        <x:f>'Plan Settings'!$B$4+A45-1</x:f>
        <x:v>46363</x:v>
      </x:c>
      <x:c r="C45" s="22" t="n">
        <x:v>6</x:v>
      </x:c>
      <x:c r="D45" s="22" t="str">
        <x:v>CTA-L</x:v>
      </x:c>
      <x:c r="E45" s="22" t="str">
        <x:v>Review affiliate CTA trên loan pages</x:v>
      </x:c>
      <x:c r="F45" s="22" t="str">
        <x:v>Cash Loan</x:v>
      </x:c>
      <x:c r="G45" s="22" t="str">
        <x:v>Conversion</x:v>
      </x:c>
      <x:c r="H45" s="22" t="str">
        <x:v>Update existing</x:v>
      </x:c>
      <x:c r="I45" s="22" t="str">
        <x:v>No new URL</x:v>
      </x:c>
      <x:c r="J45" s="22" t="str">
        <x:v>Loan cluster</x:v>
      </x:c>
      <x:c r="K45" s="22" t="str">
        <x:v>High</x:v>
      </x:c>
      <x:c r="L45" s="22" t="str">
        <x:v>CTA Matrix + analytics</x:v>
      </x:c>
      <x:c r="M45" s="22" t="str">
        <x:v>Adjust position/copy only from evidence</x:v>
      </x:c>
      <x:c r="N45" s="22" t="str">
        <x:v>P0</x:v>
      </x:c>
      <x:c r="O45" s="22" t="str">
        <x:v>Planned</x:v>
      </x:c>
      <x:c r="P45" s="22" t="str">
        <x:v>No dark patterns</x:v>
      </x:c>
    </x:row>
    <x:row r="46">
      <x:c r="A46" s="22" t="n">
        <x:v>42</x:v>
      </x:c>
      <x:c r="B46" s="46" t="n">
        <x:f>'Plan Settings'!$B$4+A46-1</x:f>
        <x:v>46364</x:v>
      </x:c>
      <x:c r="C46" s="22" t="n">
        <x:v>6</x:v>
      </x:c>
      <x:c r="D46" s="22" t="str">
        <x:v>CTA-C</x:v>
      </x:c>
      <x:c r="E46" s="22" t="str">
        <x:v>Review affiliate CTA trên card pages</x:v>
      </x:c>
      <x:c r="F46" s="22" t="str">
        <x:v>Credit Card</x:v>
      </x:c>
      <x:c r="G46" s="22" t="str">
        <x:v>Conversion</x:v>
      </x:c>
      <x:c r="H46" s="22" t="str">
        <x:v>Update existing</x:v>
      </x:c>
      <x:c r="I46" s="22" t="str">
        <x:v>No new URL</x:v>
      </x:c>
      <x:c r="J46" s="22" t="str">
        <x:v>Card cluster</x:v>
      </x:c>
      <x:c r="K46" s="22" t="str">
        <x:v>High</x:v>
      </x:c>
      <x:c r="L46" s="22" t="str">
        <x:v>CTA Matrix + analytics</x:v>
      </x:c>
      <x:c r="M46" s="22" t="str">
        <x:v>Adjust position/copy only from evidence</x:v>
      </x:c>
      <x:c r="N46" s="22" t="str">
        <x:v>P0</x:v>
      </x:c>
      <x:c r="O46" s="22" t="str">
        <x:v>Planned</x:v>
      </x:c>
      <x:c r="P46" s="22" t="str">
        <x:v>No old promos</x:v>
      </x:c>
    </x:row>
    <x:row r="47">
      <x:c r="A47" s="22" t="n">
        <x:v>43</x:v>
      </x:c>
      <x:c r="B47" s="46" t="n">
        <x:f>'Plan Settings'!$B$4+A47-1</x:f>
        <x:v>46365</x:v>
      </x:c>
      <x:c r="C47" s="22" t="n">
        <x:v>7</x:v>
      </x:c>
      <x:c r="D47" s="22" t="str">
        <x:v>TRACKING</x:v>
      </x:c>
      <x:c r="E47" s="22" t="str">
        <x:v>Rà event tracking Home Credit</x:v>
      </x:c>
      <x:c r="F47" s="22" t="str">
        <x:v>All</x:v>
      </x:c>
      <x:c r="G47" s="22" t="str">
        <x:v>Measurement</x:v>
      </x:c>
      <x:c r="H47" s="22" t="str">
        <x:v>Update implementation</x:v>
      </x:c>
      <x:c r="I47" s="22" t="str">
        <x:v>No new URL</x:v>
      </x:c>
      <x:c r="J47" s="22" t="str">
        <x:v>All</x:v>
      </x:c>
      <x:c r="K47" s="22" t="str">
        <x:v>N/A</x:v>
      </x:c>
      <x:c r="L47" s="22" t="str">
        <x:v>Existing analytics</x:v>
      </x:c>
      <x:c r="M47" s="22" t="str">
        <x:v>Map CTA/outbound/support events</x:v>
      </x:c>
      <x:c r="N47" s="22" t="str">
        <x:v>P1</x:v>
      </x:c>
      <x:c r="O47" s="22" t="str">
        <x:v>Planned</x:v>
      </x:c>
      <x:c r="P47" s="22" t="str">
        <x:v>Reuse current analytics</x:v>
      </x:c>
    </x:row>
    <x:row r="48">
      <x:c r="A48" s="22" t="n">
        <x:v>44</x:v>
      </x:c>
      <x:c r="B48" s="46" t="n">
        <x:f>'Plan Settings'!$B$4+A48-1</x:f>
        <x:v>46366</x:v>
      </x:c>
      <x:c r="C48" s="22" t="n">
        <x:v>7</x:v>
      </x:c>
      <x:c r="D48" s="22" t="str">
        <x:v>SCHEMA</x:v>
      </x:c>
      <x:c r="E48" s="22" t="str">
        <x:v>Rà metadata/schema Home Credit cluster</x:v>
      </x:c>
      <x:c r="F48" s="22" t="str">
        <x:v>All</x:v>
      </x:c>
      <x:c r="G48" s="22" t="str">
        <x:v>Technical SEO</x:v>
      </x:c>
      <x:c r="H48" s="22" t="str">
        <x:v>Update existing</x:v>
      </x:c>
      <x:c r="I48" s="22" t="str">
        <x:v>No new URL</x:v>
      </x:c>
      <x:c r="J48" s="22" t="str">
        <x:v>All</x:v>
      </x:c>
      <x:c r="K48" s="22" t="str">
        <x:v>N/A</x:v>
      </x:c>
      <x:c r="L48" s="22" t="str">
        <x:v>Existing project patterns</x:v>
      </x:c>
      <x:c r="M48" s="22" t="str">
        <x:v>Ensure Article/Breadcrumb/etc match visible content</x:v>
      </x:c>
      <x:c r="N48" s="22" t="str">
        <x:v>P1</x:v>
      </x:c>
      <x:c r="O48" s="22" t="str">
        <x:v>Planned</x:v>
      </x:c>
      <x:c r="P48" s="22" t="str">
        <x:v>No invented schema</x:v>
      </x:c>
    </x:row>
    <x:row r="49">
      <x:c r="A49" s="22" t="n">
        <x:v>45</x:v>
      </x:c>
      <x:c r="B49" s="46" t="n">
        <x:f>'Plan Settings'!$B$4+A49-1</x:f>
        <x:v>46367</x:v>
      </x:c>
      <x:c r="C49" s="22" t="n">
        <x:v>7</x:v>
      </x:c>
      <x:c r="D49" s="22" t="str">
        <x:v>MOBILE</x:v>
      </x:c>
      <x:c r="E49" s="22" t="str">
        <x:v>Rà mobile UI các bảng phí/lãi</x:v>
      </x:c>
      <x:c r="F49" s="22" t="str">
        <x:v>All</x:v>
      </x:c>
      <x:c r="G49" s="22" t="str">
        <x:v>UX</x:v>
      </x:c>
      <x:c r="H49" s="22" t="str">
        <x:v>Update existing</x:v>
      </x:c>
      <x:c r="I49" s="22" t="str">
        <x:v>No new URL</x:v>
      </x:c>
      <x:c r="J49" s="22" t="str">
        <x:v>All</x:v>
      </x:c>
      <x:c r="K49" s="22" t="str">
        <x:v>N/A</x:v>
      </x:c>
      <x:c r="L49" s="22" t="str">
        <x:v>Current UI</x:v>
      </x:c>
      <x:c r="M49" s="22" t="str">
        <x:v>Fix overflow/CTA/table responsive only if needed</x:v>
      </x:c>
      <x:c r="N49" s="22" t="str">
        <x:v>P1</x:v>
      </x:c>
      <x:c r="O49" s="22" t="str">
        <x:v>Planned</x:v>
      </x:c>
      <x:c r="P49" s="22" t="str">
        <x:v>Preserve UI</x:v>
      </x:c>
    </x:row>
    <x:row r="50">
      <x:c r="A50" s="22" t="n">
        <x:v>46</x:v>
      </x:c>
      <x:c r="B50" s="46" t="n">
        <x:f>'Plan Settings'!$B$4+A50-1</x:f>
        <x:v>46368</x:v>
      </x:c>
      <x:c r="C50" s="22" t="n">
        <x:v>7</x:v>
      </x:c>
      <x:c r="D50" s="22" t="str">
        <x:v>QUERY-L</x:v>
      </x:c>
      <x:c r="E50" s="22" t="str">
        <x:v>Phân tích query loan mới</x:v>
      </x:c>
      <x:c r="F50" s="22" t="str">
        <x:v>Cash Loan</x:v>
      </x:c>
      <x:c r="G50" s="22" t="str">
        <x:v>Measurement</x:v>
      </x:c>
      <x:c r="H50" s="22" t="str">
        <x:v>Research/update</x:v>
      </x:c>
      <x:c r="I50" s="22" t="str">
        <x:v>No new URL</x:v>
      </x:c>
      <x:c r="J50" s="22" t="str">
        <x:v>Loan cluster</x:v>
      </x:c>
      <x:c r="K50" s="22" t="str">
        <x:v>N/A</x:v>
      </x:c>
      <x:c r="L50" s="22" t="str">
        <x:v>Search Console</x:v>
      </x:c>
      <x:c r="M50" s="22" t="str">
        <x:v>Map to existing owner before new URL</x:v>
      </x:c>
      <x:c r="N50" s="22" t="str">
        <x:v>P1</x:v>
      </x:c>
      <x:c r="O50" s="22" t="str">
        <x:v>Planned</x:v>
      </x:c>
      <x:c r="P50" s="22" t="str">
        <x:v>Evidence-based expansion</x:v>
      </x:c>
    </x:row>
    <x:row r="51">
      <x:c r="A51" s="22" t="n">
        <x:v>47</x:v>
      </x:c>
      <x:c r="B51" s="46" t="n">
        <x:f>'Plan Settings'!$B$4+A51-1</x:f>
        <x:v>46369</x:v>
      </x:c>
      <x:c r="C51" s="22" t="n">
        <x:v>7</x:v>
      </x:c>
      <x:c r="D51" s="22" t="str">
        <x:v>QUERY-C</x:v>
      </x:c>
      <x:c r="E51" s="22" t="str">
        <x:v>Phân tích query card mới</x:v>
      </x:c>
      <x:c r="F51" s="22" t="str">
        <x:v>Credit Card</x:v>
      </x:c>
      <x:c r="G51" s="22" t="str">
        <x:v>Measurement</x:v>
      </x:c>
      <x:c r="H51" s="22" t="str">
        <x:v>Research/update</x:v>
      </x:c>
      <x:c r="I51" s="22" t="str">
        <x:v>No new URL</x:v>
      </x:c>
      <x:c r="J51" s="22" t="str">
        <x:v>Card cluster</x:v>
      </x:c>
      <x:c r="K51" s="22" t="str">
        <x:v>N/A</x:v>
      </x:c>
      <x:c r="L51" s="22" t="str">
        <x:v>Search Console</x:v>
      </x:c>
      <x:c r="M51" s="22" t="str">
        <x:v>Map to owner before new URL</x:v>
      </x:c>
      <x:c r="N51" s="22" t="str">
        <x:v>P1</x:v>
      </x:c>
      <x:c r="O51" s="22" t="str">
        <x:v>Planned</x:v>
      </x:c>
      <x:c r="P51" s="22" t="str">
        <x:v>Evidence-based expansion</x:v>
      </x:c>
    </x:row>
    <x:row r="52">
      <x:c r="A52" s="22" t="n">
        <x:v>48</x:v>
      </x:c>
      <x:c r="B52" s="46" t="n">
        <x:f>'Plan Settings'!$B$4+A52-1</x:f>
        <x:v>46370</x:v>
      </x:c>
      <x:c r="C52" s="22" t="n">
        <x:v>7</x:v>
      </x:c>
      <x:c r="D52" s="22" t="str">
        <x:v>MERGE-L</x:v>
      </x:c>
      <x:c r="E52" s="22" t="str">
        <x:v>Đánh giá bài loan support có overlap</x:v>
      </x:c>
      <x:c r="F52" s="22" t="str">
        <x:v>Cash Loan</x:v>
      </x:c>
      <x:c r="G52" s="22" t="str">
        <x:v>Quality</x:v>
      </x:c>
      <x:c r="H52" s="22" t="str">
        <x:v>Editorial review</x:v>
      </x:c>
      <x:c r="I52" s="22" t="str">
        <x:v>No new URL</x:v>
      </x:c>
      <x:c r="J52" s="22" t="str">
        <x:v>Loan cluster</x:v>
      </x:c>
      <x:c r="K52" s="22" t="str">
        <x:v>N/A</x:v>
      </x:c>
      <x:c r="L52" s="22" t="str">
        <x:v>SERP/query data</x:v>
      </x:c>
      <x:c r="M52" s="22" t="str">
        <x:v>Merge thin/overlap sections if needed</x:v>
      </x:c>
      <x:c r="N52" s="22" t="str">
        <x:v>P1</x:v>
      </x:c>
      <x:c r="O52" s="22" t="str">
        <x:v>Planned</x:v>
      </x:c>
      <x:c r="P52" s="22" t="str">
        <x:v>Avoid content sprawl</x:v>
      </x:c>
    </x:row>
    <x:row r="53">
      <x:c r="A53" s="22" t="n">
        <x:v>49</x:v>
      </x:c>
      <x:c r="B53" s="46" t="n">
        <x:f>'Plan Settings'!$B$4+A53-1</x:f>
        <x:v>46371</x:v>
      </x:c>
      <x:c r="C53" s="22" t="n">
        <x:v>7</x:v>
      </x:c>
      <x:c r="D53" s="22" t="str">
        <x:v>MERGE-C</x:v>
      </x:c>
      <x:c r="E53" s="22" t="str">
        <x:v>Đánh giá bài card support có overlap</x:v>
      </x:c>
      <x:c r="F53" s="22" t="str">
        <x:v>Credit Card</x:v>
      </x:c>
      <x:c r="G53" s="22" t="str">
        <x:v>Quality</x:v>
      </x:c>
      <x:c r="H53" s="22" t="str">
        <x:v>Editorial review</x:v>
      </x:c>
      <x:c r="I53" s="22" t="str">
        <x:v>No new URL</x:v>
      </x:c>
      <x:c r="J53" s="22" t="str">
        <x:v>Card cluster</x:v>
      </x:c>
      <x:c r="K53" s="22" t="str">
        <x:v>N/A</x:v>
      </x:c>
      <x:c r="L53" s="22" t="str">
        <x:v>SERP/query data</x:v>
      </x:c>
      <x:c r="M53" s="22" t="str">
        <x:v>Merge thin/overlap sections if needed</x:v>
      </x:c>
      <x:c r="N53" s="22" t="str">
        <x:v>P1</x:v>
      </x:c>
      <x:c r="O53" s="22" t="str">
        <x:v>Planned</x:v>
      </x:c>
      <x:c r="P53" s="22" t="str">
        <x:v>Avoid content sprawl</x:v>
      </x:c>
    </x:row>
    <x:row r="54">
      <x:c r="A54" s="22" t="n">
        <x:v>50</x:v>
      </x:c>
      <x:c r="B54" s="46" t="n">
        <x:f>'Plan Settings'!$B$4+A54-1</x:f>
        <x:v>46372</x:v>
      </x:c>
      <x:c r="C54" s="22" t="n">
        <x:v>8</x:v>
      </x:c>
      <x:c r="D54" s="22" t="str">
        <x:v>CTR-L</x:v>
      </x:c>
      <x:c r="E54" s="22" t="str">
        <x:v>Review title/meta loan cluster</x:v>
      </x:c>
      <x:c r="F54" s="22" t="str">
        <x:v>Cash Loan</x:v>
      </x:c>
      <x:c r="G54" s="22" t="str">
        <x:v>CTR</x:v>
      </x:c>
      <x:c r="H54" s="22" t="str">
        <x:v>Conditional update</x:v>
      </x:c>
      <x:c r="I54" s="22" t="str">
        <x:v>No new URL</x:v>
      </x:c>
      <x:c r="J54" s="22" t="str">
        <x:v>Loan cluster</x:v>
      </x:c>
      <x:c r="K54" s="22" t="str">
        <x:v>N/A</x:v>
      </x:c>
      <x:c r="L54" s="22" t="str">
        <x:v>Search Console</x:v>
      </x:c>
      <x:c r="M54" s="22" t="str">
        <x:v>Change only if intent correct + CTR evidence</x:v>
      </x:c>
      <x:c r="N54" s="22" t="str">
        <x:v>P1</x:v>
      </x:c>
      <x:c r="O54" s="22" t="str">
        <x:v>Planned</x:v>
      </x:c>
      <x:c r="P54" s="22" t="str">
        <x:v>No clickbait</x:v>
      </x:c>
    </x:row>
    <x:row r="55">
      <x:c r="A55" s="22" t="n">
        <x:v>51</x:v>
      </x:c>
      <x:c r="B55" s="46" t="n">
        <x:f>'Plan Settings'!$B$4+A55-1</x:f>
        <x:v>46373</x:v>
      </x:c>
      <x:c r="C55" s="22" t="n">
        <x:v>8</x:v>
      </x:c>
      <x:c r="D55" s="22" t="str">
        <x:v>CTR-C</x:v>
      </x:c>
      <x:c r="E55" s="22" t="str">
        <x:v>Review title/meta card cluster</x:v>
      </x:c>
      <x:c r="F55" s="22" t="str">
        <x:v>Credit Card</x:v>
      </x:c>
      <x:c r="G55" s="22" t="str">
        <x:v>CTR</x:v>
      </x:c>
      <x:c r="H55" s="22" t="str">
        <x:v>Conditional update</x:v>
      </x:c>
      <x:c r="I55" s="22" t="str">
        <x:v>No new URL</x:v>
      </x:c>
      <x:c r="J55" s="22" t="str">
        <x:v>Card cluster</x:v>
      </x:c>
      <x:c r="K55" s="22" t="str">
        <x:v>N/A</x:v>
      </x:c>
      <x:c r="L55" s="22" t="str">
        <x:v>Search Console</x:v>
      </x:c>
      <x:c r="M55" s="22" t="str">
        <x:v>Change only if intent correct + CTR evidence</x:v>
      </x:c>
      <x:c r="N55" s="22" t="str">
        <x:v>P1</x:v>
      </x:c>
      <x:c r="O55" s="22" t="str">
        <x:v>Planned</x:v>
      </x:c>
      <x:c r="P55" s="22" t="str">
        <x:v>No promo bait</x:v>
      </x:c>
    </x:row>
    <x:row r="56">
      <x:c r="A56" s="22" t="n">
        <x:v>52</x:v>
      </x:c>
      <x:c r="B56" s="46" t="n">
        <x:f>'Plan Settings'!$B$4+A56-1</x:f>
        <x:v>46374</x:v>
      </x:c>
      <x:c r="C56" s="22" t="n">
        <x:v>8</x:v>
      </x:c>
      <x:c r="D56" s="22" t="str">
        <x:v>TRUST-L</x:v>
      </x:c>
      <x:c r="E56" s="22" t="str">
        <x:v>Rà disclosure loan affiliate</x:v>
      </x:c>
      <x:c r="F56" s="22" t="str">
        <x:v>Cash Loan</x:v>
      </x:c>
      <x:c r="G56" s="22" t="str">
        <x:v>Trust</x:v>
      </x:c>
      <x:c r="H56" s="22" t="str">
        <x:v>Update existing</x:v>
      </x:c>
      <x:c r="I56" s="22" t="str">
        <x:v>No new URL</x:v>
      </x:c>
      <x:c r="J56" s="22" t="str">
        <x:v>Loan cluster</x:v>
      </x:c>
      <x:c r="K56" s="22" t="str">
        <x:v>Medium</x:v>
      </x:c>
      <x:c r="L56" s="22" t="str">
        <x:v>S11</x:v>
      </x:c>
      <x:c r="M56" s="22" t="str">
        <x:v>Keep disclosure near CTA</x:v>
      </x:c>
      <x:c r="N56" s="22" t="str">
        <x:v>P0</x:v>
      </x:c>
      <x:c r="O56" s="22" t="str">
        <x:v>Planned</x:v>
      </x:c>
      <x:c r="P56" s="22" t="str">
        <x:v>Independent site clarity</x:v>
      </x:c>
    </x:row>
    <x:row r="57">
      <x:c r="A57" s="22" t="n">
        <x:v>53</x:v>
      </x:c>
      <x:c r="B57" s="46" t="n">
        <x:f>'Plan Settings'!$B$4+A57-1</x:f>
        <x:v>46375</x:v>
      </x:c>
      <x:c r="C57" s="22" t="n">
        <x:v>8</x:v>
      </x:c>
      <x:c r="D57" s="22" t="str">
        <x:v>TRUST-C</x:v>
      </x:c>
      <x:c r="E57" s="22" t="str">
        <x:v>Rà disclosure card affiliate</x:v>
      </x:c>
      <x:c r="F57" s="22" t="str">
        <x:v>Credit Card</x:v>
      </x:c>
      <x:c r="G57" s="22" t="str">
        <x:v>Trust</x:v>
      </x:c>
      <x:c r="H57" s="22" t="str">
        <x:v>Update existing</x:v>
      </x:c>
      <x:c r="I57" s="22" t="str">
        <x:v>No new URL</x:v>
      </x:c>
      <x:c r="J57" s="22" t="str">
        <x:v>Card cluster</x:v>
      </x:c>
      <x:c r="K57" s="22" t="str">
        <x:v>Medium</x:v>
      </x:c>
      <x:c r="L57" s="22" t="str">
        <x:v>S11</x:v>
      </x:c>
      <x:c r="M57" s="22" t="str">
        <x:v>Keep disclosure near CTA</x:v>
      </x:c>
      <x:c r="N57" s="22" t="str">
        <x:v>P0</x:v>
      </x:c>
      <x:c r="O57" s="22" t="str">
        <x:v>Planned</x:v>
      </x:c>
      <x:c r="P57" s="22" t="str">
        <x:v>Independent site clarity</x:v>
      </x:c>
    </x:row>
    <x:row r="58">
      <x:c r="A58" s="22" t="n">
        <x:v>54</x:v>
      </x:c>
      <x:c r="B58" s="46" t="n">
        <x:f>'Plan Settings'!$B$4+A58-1</x:f>
        <x:v>46376</x:v>
      </x:c>
      <x:c r="C58" s="22" t="n">
        <x:v>8</x:v>
      </x:c>
      <x:c r="D58" s="22" t="str">
        <x:v>SUPPORT</x:v>
      </x:c>
      <x:c r="E58" s="22" t="str">
        <x:v>Rà hotline/support links Home Credit</x:v>
      </x:c>
      <x:c r="F58" s="22" t="str">
        <x:v>All</x:v>
      </x:c>
      <x:c r="G58" s="22" t="str">
        <x:v>Trust/support</x:v>
      </x:c>
      <x:c r="H58" s="22" t="str">
        <x:v>Update existing</x:v>
      </x:c>
      <x:c r="I58" s="22" t="str">
        <x:v>No new URL</x:v>
      </x:c>
      <x:c r="J58" s="22" t="str">
        <x:v>All</x:v>
      </x:c>
      <x:c r="K58" s="22" t="str">
        <x:v>Low</x:v>
      </x:c>
      <x:c r="L58" s="22" t="str">
        <x:v>Home Credit current site</x:v>
      </x:c>
      <x:c r="M58" s="22" t="str">
        <x:v>Refresh support links if changed</x:v>
      </x:c>
      <x:c r="N58" s="22" t="str">
        <x:v>P1</x:v>
      </x:c>
      <x:c r="O58" s="22" t="str">
        <x:v>Planned</x:v>
      </x:c>
      <x:c r="P58" s="22" t="str">
        <x:v>No sensitive data collection</x:v>
      </x:c>
    </x:row>
    <x:row r="59">
      <x:c r="A59" s="22" t="n">
        <x:v>55</x:v>
      </x:c>
      <x:c r="B59" s="46" t="n">
        <x:f>'Plan Settings'!$B$4+A59-1</x:f>
        <x:v>46377</x:v>
      </x:c>
      <x:c r="C59" s="22" t="n">
        <x:v>8</x:v>
      </x:c>
      <x:c r="D59" s="22" t="str">
        <x:v>CRAWL</x:v>
      </x:c>
      <x:c r="E59" s="22" t="str">
        <x:v>Rà canonical/index/sitemap</x:v>
      </x:c>
      <x:c r="F59" s="22" t="str">
        <x:v>All</x:v>
      </x:c>
      <x:c r="G59" s="22" t="str">
        <x:v>Technical SEO</x:v>
      </x:c>
      <x:c r="H59" s="22" t="str">
        <x:v>Update implementation</x:v>
      </x:c>
      <x:c r="I59" s="22" t="str">
        <x:v>No new URL</x:v>
      </x:c>
      <x:c r="J59" s="22" t="str">
        <x:v>All</x:v>
      </x:c>
      <x:c r="K59" s="22" t="str">
        <x:v>N/A</x:v>
      </x:c>
      <x:c r="L59" s="22" t="str">
        <x:v>Project config</x:v>
      </x:c>
      <x:c r="M59" s="22" t="str">
        <x:v>Fix only real issues</x:v>
      </x:c>
      <x:c r="N59" s="22" t="str">
        <x:v>P1</x:v>
      </x:c>
      <x:c r="O59" s="22" t="str">
        <x:v>Planned</x:v>
      </x:c>
      <x:c r="P59" s="22" t="str">
        <x:v>Preserve current routes</x:v>
      </x:c>
    </x:row>
    <x:row r="60">
      <x:c r="A60" s="22" t="n">
        <x:v>56</x:v>
      </x:c>
      <x:c r="B60" s="46" t="n">
        <x:f>'Plan Settings'!$B$4+A60-1</x:f>
        <x:v>46378</x:v>
      </x:c>
      <x:c r="C60" s="22" t="n">
        <x:v>8</x:v>
      </x:c>
      <x:c r="D60" s="22" t="str">
        <x:v>FINAL-L</x:v>
      </x:c>
      <x:c r="E60" s="22" t="str">
        <x:v>Final content QA loan cluster</x:v>
      </x:c>
      <x:c r="F60" s="22" t="str">
        <x:v>Cash Loan</x:v>
      </x:c>
      <x:c r="G60" s="22" t="str">
        <x:v>QA</x:v>
      </x:c>
      <x:c r="H60" s="22" t="str">
        <x:v>Update existing</x:v>
      </x:c>
      <x:c r="I60" s="22" t="str">
        <x:v>No new URL</x:v>
      </x:c>
      <x:c r="J60" s="22" t="str">
        <x:v>Loan cluster</x:v>
      </x:c>
      <x:c r="K60" s="22" t="str">
        <x:v>N/A</x:v>
      </x:c>
      <x:c r="L60" s="22" t="str">
        <x:v>All current sources</x:v>
      </x:c>
      <x:c r="M60" s="22" t="str">
        <x:v>Check costs/approval wording/source dates</x:v>
      </x:c>
      <x:c r="N60" s="22" t="str">
        <x:v>P0</x:v>
      </x:c>
      <x:c r="O60" s="22" t="str">
        <x:v>Planned</x:v>
      </x:c>
      <x:c r="P60" s="22" t="str">
        <x:v>YMYL</x:v>
      </x:c>
    </x:row>
    <x:row r="61">
      <x:c r="A61" s="22" t="n">
        <x:v>57</x:v>
      </x:c>
      <x:c r="B61" s="46" t="n">
        <x:f>'Plan Settings'!$B$4+A61-1</x:f>
        <x:v>46379</x:v>
      </x:c>
      <x:c r="C61" s="22" t="n">
        <x:v>9</x:v>
      </x:c>
      <x:c r="D61" s="22" t="str">
        <x:v>FINAL-C</x:v>
      </x:c>
      <x:c r="E61" s="22" t="str">
        <x:v>Final content QA card cluster</x:v>
      </x:c>
      <x:c r="F61" s="22" t="str">
        <x:v>Credit Card</x:v>
      </x:c>
      <x:c r="G61" s="22" t="str">
        <x:v>QA</x:v>
      </x:c>
      <x:c r="H61" s="22" t="str">
        <x:v>Update existing</x:v>
      </x:c>
      <x:c r="I61" s="22" t="str">
        <x:v>No new URL</x:v>
      </x:c>
      <x:c r="J61" s="22" t="str">
        <x:v>Card cluster</x:v>
      </x:c>
      <x:c r="K61" s="22" t="str">
        <x:v>N/A</x:v>
      </x:c>
      <x:c r="L61" s="22" t="str">
        <x:v>Latest tariff + FAQ</x:v>
      </x:c>
      <x:c r="M61" s="22" t="str">
        <x:v>Check fees/interest/billing wording</x:v>
      </x:c>
      <x:c r="N61" s="22" t="str">
        <x:v>P0</x:v>
      </x:c>
      <x:c r="O61" s="22" t="str">
        <x:v>Planned</x:v>
      </x:c>
      <x:c r="P61" s="22" t="str">
        <x:v>YMYL</x:v>
      </x:c>
    </x:row>
    <x:row r="62">
      <x:c r="A62" s="22" t="n">
        <x:v>58</x:v>
      </x:c>
      <x:c r="B62" s="46" t="n">
        <x:f>'Plan Settings'!$B$4+A62-1</x:f>
        <x:v>46380</x:v>
      </x:c>
      <x:c r="C62" s="22" t="n">
        <x:v>9</x:v>
      </x:c>
      <x:c r="D62" s="22" t="str">
        <x:v>FINAL-CTA</x:v>
      </x:c>
      <x:c r="E62" s="22" t="str">
        <x:v>Final affiliate funnel QA</x:v>
      </x:c>
      <x:c r="F62" s="22" t="str">
        <x:v>All</x:v>
      </x:c>
      <x:c r="G62" s="22" t="str">
        <x:v>Conversion</x:v>
      </x:c>
      <x:c r="H62" s="22" t="str">
        <x:v>Update existing</x:v>
      </x:c>
      <x:c r="I62" s="22" t="str">
        <x:v>No new URL</x:v>
      </x:c>
      <x:c r="J62" s="22" t="str">
        <x:v>All</x:v>
      </x:c>
      <x:c r="K62" s="22" t="str">
        <x:v>N/A</x:v>
      </x:c>
      <x:c r="L62" s="22" t="str">
        <x:v>Analytics + CTA Matrix</x:v>
      </x:c>
      <x:c r="M62" s="22" t="str">
        <x:v>Ensure CTA useful, disclosed, non-deceptive</x:v>
      </x:c>
      <x:c r="N62" s="22" t="str">
        <x:v>P0</x:v>
      </x:c>
      <x:c r="O62" s="22" t="str">
        <x:v>Planned</x:v>
      </x:c>
      <x:c r="P62" s="22" t="str">
        <x:v>Business QA</x:v>
      </x:c>
    </x:row>
    <x:row r="63">
      <x:c r="A63" s="22" t="n">
        <x:v>59</x:v>
      </x:c>
      <x:c r="B63" s="46" t="n">
        <x:f>'Plan Settings'!$B$4+A63-1</x:f>
        <x:v>46381</x:v>
      </x:c>
      <x:c r="C63" s="22" t="n">
        <x:v>9</x:v>
      </x:c>
      <x:c r="D63" s="22" t="str">
        <x:v>FINAL-DATA</x:v>
      </x:c>
      <x:c r="E63" s="22" t="str">
        <x:v>Baseline vs 60-day comparison</x:v>
      </x:c>
      <x:c r="F63" s="22" t="str">
        <x:v>All</x:v>
      </x:c>
      <x:c r="G63" s="22" t="str">
        <x:v>Measurement</x:v>
      </x:c>
      <x:c r="H63" s="22" t="str">
        <x:v>Report</x:v>
      </x:c>
      <x:c r="I63" s="22" t="str">
        <x:v>No new URL</x:v>
      </x:c>
      <x:c r="J63" s="22" t="str">
        <x:v>All</x:v>
      </x:c>
      <x:c r="K63" s="22" t="str">
        <x:v>N/A</x:v>
      </x:c>
      <x:c r="L63" s="22" t="str">
        <x:v>Search Console + analytics</x:v>
      </x:c>
      <x:c r="M63" s="22" t="str">
        <x:v>Compare queries/clicks/outbound/conversions</x:v>
      </x:c>
      <x:c r="N63" s="22" t="str">
        <x:v>P0</x:v>
      </x:c>
      <x:c r="O63" s="22" t="str">
        <x:v>Planned</x:v>
      </x:c>
      <x:c r="P63" s="22" t="str">
        <x:v>Cluster-level</x:v>
      </x:c>
    </x:row>
    <x:row r="64">
      <x:c r="A64" s="22" t="n">
        <x:v>60</x:v>
      </x:c>
      <x:c r="B64" s="46" t="n">
        <x:f>'Plan Settings'!$B$4+A64-1</x:f>
        <x:v>46382</x:v>
      </x:c>
      <x:c r="C64" s="22" t="n">
        <x:v>9</x:v>
      </x:c>
      <x:c r="D64" s="22" t="str">
        <x:v>NEXT-CYCLE</x:v>
      </x:c>
      <x:c r="E64" s="22" t="str">
        <x:v>Chọn content Home Credit cho chu kỳ tiếp theo</x:v>
      </x:c>
      <x:c r="F64" s="22" t="str">
        <x:v>All</x:v>
      </x:c>
      <x:c r="G64" s="22" t="str">
        <x:v>Strategy</x:v>
      </x:c>
      <x:c r="H64" s="22" t="str">
        <x:v>Research</x:v>
      </x:c>
      <x:c r="I64" s="22" t="str">
        <x:v>No new URL</x:v>
      </x:c>
      <x:c r="J64" s="22" t="str">
        <x:v>All</x:v>
      </x:c>
      <x:c r="K64" s="22" t="str">
        <x:v>N/A</x:v>
      </x:c>
      <x:c r="L64" s="22" t="str">
        <x:v>Real query + conversion data</x:v>
      </x:c>
      <x:c r="M64" s="22" t="str">
        <x:v>Pick next 5 assets from evidence</x:v>
      </x:c>
      <x:c r="N64" s="22" t="str">
        <x:v>P0</x:v>
      </x:c>
      <x:c r="O64" s="22" t="str">
        <x:v>Planned</x:v>
      </x:c>
      <x:c r="P64" s="22" t="str">
        <x:v>No 1-keyword=1-page</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db0ca425f4674f4c"/>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HOME CREDIT – EXECUTION DASHBOARD</x:v>
      </x:c>
      <x:c r="B1" s="8"/>
      <x:c r="C1" s="8"/>
      <x:c r="D1" s="8"/>
      <x:c r="E1" s="8"/>
      <x:c r="F1" s="8"/>
      <x:c r="G1" s="8"/>
      <x:c r="H1" s="8"/>
    </x:row>
    <x:row r="3">
      <x:c r="A3" s="20" t="str">
        <x:v>Metric</x:v>
      </x:c>
      <x:c r="B3" s="20" t="str">
        <x:v>Value</x:v>
      </x:c>
      <x:c r="D3" s="20" t="str">
        <x:v>Layer</x:v>
      </x:c>
      <x:c r="E3" s="20" t="str">
        <x:v>Priority</x:v>
      </x:c>
    </x:row>
    <x:row r="4">
      <x:c r="A4" t="str">
        <x:v>Start date</x:v>
      </x:c>
      <x:c r="B4" s="30" t="n">
        <x:f>'Plan Settings'!$B$4</x:f>
        <x:v>46323</x:v>
      </x:c>
      <x:c r="D4" t="str">
        <x:v>Cash Loan Pillar</x:v>
      </x:c>
      <x:c r="E4" t="str">
        <x:v>P0</x:v>
      </x:c>
    </x:row>
    <x:row r="5">
      <x:c r="A5" t="str">
        <x:v>End date</x:v>
      </x:c>
      <x:c r="B5" s="30" t="n">
        <x:f>'Plan Settings'!$B$4+59</x:f>
        <x:v>46382</x:v>
      </x:c>
      <x:c r="D5" t="str">
        <x:v>Credit Card Pillar</x:v>
      </x:c>
      <x:c r="E5" t="str">
        <x:v>P0</x:v>
      </x:c>
    </x:row>
    <x:row r="6">
      <x:c r="A6" t="str">
        <x:v>Days</x:v>
      </x:c>
      <x:c r="B6" t="n">
        <x:v>60</x:v>
      </x:c>
      <x:c r="D6" t="str">
        <x:v>Loan Cost/Reject</x:v>
      </x:c>
      <x:c r="E6" t="str">
        <x:v>P0</x:v>
      </x:c>
    </x:row>
    <x:row r="7">
      <x:c r="A7" t="str">
        <x:v>Money pillars</x:v>
      </x:c>
      <x:c r="B7" t="n">
        <x:v>2</x:v>
      </x:c>
      <x:c r="D7" t="str">
        <x:v>Card Cost/Cash/Installment</x:v>
      </x:c>
      <x:c r="E7" t="str">
        <x:v>P0</x:v>
      </x:c>
    </x:row>
    <x:row r="8">
      <x:c r="A8" t="str">
        <x:v>Guaranteed new support articles</x:v>
      </x:c>
      <x:c r="B8" t="n">
        <x:f>COUNTIF('Daily Publishing Schedule'!H5:H64,"New article")</x:f>
        <x:v>12</x:v>
      </x:c>
      <x:c r="D8" t="str">
        <x:v>Eligibility/Servicing</x:v>
      </x:c>
      <x:c r="E8" t="str">
        <x:v>P1</x:v>
      </x:c>
    </x:row>
    <x:row r="9">
      <x:c r="A9" t="str">
        <x:v>Conditional article slots</x:v>
      </x:c>
      <x:c r="B9" t="n">
        <x:f>COUNTIF('Daily Publishing Schedule'!H5:H64,"*Conditional*")</x:f>
        <x:v>0</x:v>
      </x:c>
      <x:c r="D9" t="str">
        <x:v>Bridge/Trust</x:v>
      </x:c>
      <x:c r="E9" t="str">
        <x:v>P1</x:v>
      </x:c>
    </x:row>
    <x:row r="10">
      <x:c r="A10" t="str">
        <x:v>P0 days</x:v>
      </x:c>
      <x:c r="B10" t="n">
        <x:f>COUNTIF('Daily Publishing Schedule'!N5:N64,"P0")</x:f>
        <x:v>20</x:v>
      </x:c>
    </x:row>
    <x:row r="11">
      <x:c r="A11" t="str">
        <x:v>P1 days</x:v>
      </x:c>
      <x:c r="B11" t="n">
        <x:f>COUNTIF('Daily Publishing Schedule'!N5:N64,"P1")</x:f>
        <x:v>40</x:v>
      </x:c>
    </x:row>
    <x:row r="12">
      <x:c r="A12" t="str">
        <x:v>Primary conversion model</x:v>
      </x:c>
      <x:c r="B12" t="str">
        <x:v>Product-level CTA</x:v>
      </x:c>
    </x:row>
    <x:row r="14">
      <x:c r="A14" s="52" t="str">
        <x:v>Key strategic rule</x:v>
      </x:c>
      <x:c r="B14" s="52"/>
      <x:c r="C14" s="52"/>
      <x:c r="D14" s="52"/>
      <x:c r="E14" s="52"/>
      <x:c r="F14" s="52"/>
      <x:c r="G14" s="52"/>
      <x:c r="H14" s="52"/>
    </x:row>
    <x:row r="15">
      <x:c r="A15" s="22" t="str">
        <x:v>Home Credit có 2 product funnels độc lập: Vay tiền mặt và Thẻ tín dụng. Affiliate CTA nằm trong đúng product funnel, không tạo một referral-code hub riêng. Các trang chi phí/lãi/phí phải lấy nguồn Home Credit hiện hành; đặc biệt thẻ tín dụng phải kiểm biểu phí mới nhất trong trang tra cứu hợp đồng trước mỗi lần publish/update.</x:v>
      </x:c>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HANDOFF NOTES – HOME CREDIT</x:v>
      </x:c>
      <x:c r="B1" s="28"/>
      <x:c r="C1" s="28"/>
      <x:c r="D1" s="28"/>
      <x:c r="E1" s="28"/>
      <x:c r="F1" s="28"/>
    </x:row>
    <x:row r="3">
      <x:c r="A3" s="20" t="str">
        <x:v>Rule</x:v>
      </x:c>
      <x:c r="B3" s="20" t="str">
        <x:v>Instruction</x:v>
      </x:c>
      <x:c r="C3" s="20" t="str">
        <x:v>Applies to</x:v>
      </x:c>
      <x:c r="D3" s="20" t="str">
        <x:v>Why</x:v>
      </x:c>
      <x:c r="E3" s="20" t="str">
        <x:v>Source</x:v>
      </x:c>
      <x:c r="F3" s="20" t="str">
        <x:v>Priority</x:v>
      </x:c>
    </x:row>
    <x:row r="4">
      <x:c r="A4" s="22" t="str">
        <x:v>UI</x:v>
      </x:c>
      <x:c r="B4" s="22" t="str">
        <x:v>Giữ nguyên UI/UX/design system 1phutdangky.com; reuse components hiện có.</x:v>
      </x:c>
      <x:c r="C4" s="22" t="str">
        <x:v>All</x:v>
      </x:c>
      <x:c r="D4" s="22" t="str">
        <x:v>Consistency</x:v>
      </x:c>
      <x:c r="E4" s="22" t="str">
        <x:v>Current project</x:v>
      </x:c>
      <x:c r="F4" s="22" t="str">
        <x:v>P0</x:v>
      </x:c>
    </x:row>
    <x:row r="5">
      <x:c r="A5" s="22" t="str">
        <x:v>Existing loan URL</x:v>
      </x:c>
      <x:c r="B5" s="22" t="str">
        <x:v>Không thay URL loan pillar hiện tại.</x:v>
      </x:c>
      <x:c r="C5" s="22" t="str">
        <x:v>L-PILLAR</x:v>
      </x:c>
      <x:c r="D5" s="22" t="str">
        <x:v>Preserve canonical/history</x:v>
      </x:c>
      <x:c r="E5" s="22" t="str">
        <x:v>https://1phutdangky.com/vay-tien-mat/vay-tien-mat-home-credit-online/</x:v>
      </x:c>
      <x:c r="F5" s="22" t="str">
        <x:v>P0</x:v>
      </x:c>
    </x:row>
    <x:row r="6">
      <x:c r="A6" s="22" t="str">
        <x:v>Card route</x:v>
      </x:c>
      <x:c r="B6" s="22" t="str">
        <x:v>Tạo theo routing convention project; candidate /the-tin-dung/mo-the-tin-dung-home-credit-online/.</x:v>
      </x:c>
      <x:c r="C6" s="22" t="str">
        <x:v>C-PILLAR</x:v>
      </x:c>
      <x:c r="D6" s="22" t="str">
        <x:v>Separate product owner</x:v>
      </x:c>
      <x:c r="E6" s="22" t="str">
        <x:v>Execution brief</x:v>
      </x:c>
      <x:c r="F6" s="22" t="str">
        <x:v>P0</x:v>
      </x:c>
    </x:row>
    <x:row r="7">
      <x:c r="A7" s="22" t="str">
        <x:v>Affiliate disclosure</x:v>
      </x:c>
      <x:c r="B7" s="22" t="str">
        <x:v>1 Phút Đăng Ký là website độc lập; Home Credit thẩm định/cấp sản phẩm.</x:v>
      </x:c>
      <x:c r="C7" s="22" t="str">
        <x:v>Loan/Card CTAs</x:v>
      </x:c>
      <x:c r="D7" s="22" t="str">
        <x:v>Trust/YMYL</x:v>
      </x:c>
      <x:c r="E7" s="22" t="str">
        <x:v>https://1phutdangky.com/gioi-thieu/</x:v>
      </x:c>
      <x:c r="F7" s="22" t="str">
        <x:v>P0</x:v>
      </x:c>
    </x:row>
    <x:row r="8">
      <x:c r="A8" s="22" t="str">
        <x:v>Approval</x:v>
      </x:c>
      <x:c r="B8" s="22" t="str">
        <x:v>Không hứa chắc chắn được duyệt, hạn mức, thời gian hoặc giải ngân.</x:v>
      </x:c>
      <x:c r="C8" s="22" t="str">
        <x:v>Loan/Card</x:v>
      </x:c>
      <x:c r="D8" s="22" t="str">
        <x:v>Underwriting varies</x:v>
      </x:c>
      <x:c r="E8" s="22" t="str">
        <x:v>Home Credit official</x:v>
      </x:c>
      <x:c r="F8" s="22" t="str">
        <x:v>P0</x:v>
      </x:c>
    </x:row>
    <x:row r="9">
      <x:c r="A9" s="22" t="str">
        <x:v>Loan interest</x:v>
      </x:c>
      <x:c r="B9" s="22" t="str">
        <x:v>Phân biệt lãi suất phẳng và lãi suất dư nợ giảm dần.</x:v>
      </x:c>
      <x:c r="C9" s="22" t="str">
        <x:v>Loan cost</x:v>
      </x:c>
      <x:c r="D9" s="22" t="str">
        <x:v>Avoid misleading rates</x:v>
      </x:c>
      <x:c r="E9" s="22" t="str">
        <x:v>https://www.homecredit.vn/faq/vay-tien-mat</x:v>
      </x:c>
      <x:c r="F9" s="22" t="str">
        <x:v>P0</x:v>
      </x:c>
    </x:row>
    <x:row r="10">
      <x:c r="A10" s="22" t="str">
        <x:v>Card tariff</x:v>
      </x:c>
      <x:c r="B10" s="22" t="str">
        <x:v>Tìm và dùng biểu phí hiện hành mới nhất; hiện trang tra cứu liệt kê bản hiệu lực 04/09/2026.</x:v>
      </x:c>
      <x:c r="C10" s="22" t="str">
        <x:v>Card cost</x:v>
      </x:c>
      <x:c r="D10" s="22" t="str">
        <x:v>High volatility</x:v>
      </x:c>
      <x:c r="E10" s="22" t="str">
        <x:v>https://www.homecredit.vn/tra-cuu-mau-hop-dong</x:v>
      </x:c>
      <x:c r="F10" s="22" t="str">
        <x:v>P0</x:v>
      </x:c>
    </x:row>
    <x:row r="11">
      <x:c r="A11" s="22" t="str">
        <x:v>Conditional assets</x:v>
      </x:c>
      <x:c r="B11" s="22" t="str">
        <x:v>Không tạo URL nếu gate chưa pass; merge vào canonical parent.</x:v>
      </x:c>
      <x:c r="C11" s="22" t="str">
        <x:v>Conditional</x:v>
      </x:c>
      <x:c r="D11" s="22" t="str">
        <x:v>Avoid thin content</x:v>
      </x:c>
      <x:c r="E11" s="22" t="str">
        <x:v>Daily schedule</x:v>
      </x:c>
      <x:c r="F11" s="22" t="str">
        <x:v>P0</x:v>
      </x:c>
    </x:row>
    <x:row r="12">
      <x:c r="A12" s="22" t="str">
        <x:v>Git/Cloudflare</x:v>
      </x:c>
      <x:c r="B12" s="22" t="str">
        <x:v>Sau mỗi batch build/test, commit/push nếu có quyền, deploy theo workflow Cloudflare hiện hữu, verify production.</x:v>
      </x:c>
      <x:c r="C12" s="22" t="str">
        <x:v>All</x:v>
      </x:c>
      <x:c r="D12" s="22" t="str">
        <x:v>Operational discipline</x:v>
      </x:c>
      <x:c r="E12" s="22" t="str">
        <x:v>Project config</x:v>
      </x:c>
      <x:c r="F12" s="22" t="str">
        <x:v>P0</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HOME CREDIT EVERGREEN CONTENT ENGINE – OPERATING PROTOCOL</x:v>
      </x:c>
      <x:c r="B1" s="58"/>
      <x:c r="C1" s="58"/>
      <x:c r="D1" s="58"/>
      <x:c r="E1" s="58"/>
      <x:c r="F1" s="58"/>
      <x:c r="G1" s="58"/>
      <x:c r="H1" s="58"/>
    </x:row>
    <x:row r="2">
      <x:c r="A2" s="60" t="str">
        <x:v>Lệnh vận hành duy nhất: "Bắt đầu tạo bài mới Home Credit". Hệ thống tự chọn việc tiếp theo, kiểm gate, triển khai, kiểm tra, commit/deploy và ghi log.</x:v>
      </x:c>
      <x:c r="B2" s="60"/>
      <x:c r="C2" s="60"/>
      <x:c r="D2" s="60"/>
      <x:c r="E2" s="60"/>
      <x:c r="F2" s="60"/>
      <x:c r="G2" s="60"/>
      <x:c r="H2" s="60"/>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content-engine doc / workbook</x:v>
      </x:c>
      <x:c r="D5" s="22" t="str">
        <x:v>Không hỏi user chọn topic nếu queue đã có Ready item</x:v>
      </x:c>
      <x:c r="E5" s="22" t="str">
        <x:v>Context loaded</x:v>
      </x:c>
      <x:c r="F5" s="22" t="str">
        <x:v>Thiếu file/source of truth</x:v>
      </x:c>
      <x:c r="G5" s="22" t="str">
        <x:v>Run Log: Started</x:v>
      </x:c>
      <x:c r="H5" s="22" t="str">
        <x:v>Codex</x:v>
      </x:c>
    </x:row>
    <x:row r="6">
      <x:c r="A6" s="22" t="n">
        <x:v>2</x:v>
      </x:c>
      <x:c r="B6" s="22" t="str">
        <x:v>Mở Next Action</x:v>
      </x:c>
      <x:c r="C6" s="22" t="str">
        <x:v>Next Action sheet</x:v>
      </x:c>
      <x:c r="D6" s="22" t="str">
        <x:v>Nếu có Asset ID → lấy item đó; nếu DISCOVERY → chạy Discovery Mode</x:v>
      </x:c>
      <x:c r="E6" s="22" t="str">
        <x:v>Selected item</x:v>
      </x:c>
      <x:c r="F6" s="22" t="str">
        <x:v>Có conflict với thay đổi chưa commit của user</x:v>
      </x:c>
      <x:c r="G6" s="22" t="str">
        <x:v>Queue status → In progress</x:v>
      </x:c>
      <x:c r="H6" s="22" t="str">
        <x:v>Codex</x:v>
      </x:c>
    </x:row>
    <x:row r="7">
      <x:c r="A7" s="22" t="n">
        <x:v>3</x:v>
      </x:c>
      <x:c r="B7" s="22" t="str">
        <x:v>Kiểm canonical + cannibalization</x:v>
      </x:c>
      <x:c r="C7" s="22" t="str">
        <x:v>Evergreen Queue + site routes</x:v>
      </x:c>
      <x:c r="D7" s="22" t="str">
        <x:v>New URL / update / merge into parent</x:v>
      </x:c>
      <x:c r="E7" s="22" t="str">
        <x:v>Execution decision</x:v>
      </x:c>
      <x:c r="F7" s="22" t="str">
        <x:v>Destructive routing conflict</x:v>
      </x:c>
      <x:c r="G7" s="22" t="str">
        <x:v>Ghi decision vào Run Log</x:v>
      </x:c>
      <x:c r="H7" s="22" t="str">
        <x:v>Codex</x:v>
      </x:c>
    </x:row>
    <x:row r="8">
      <x:c r="A8" s="22" t="n">
        <x:v>4</x:v>
      </x:c>
      <x:c r="B8" s="22" t="str">
        <x:v>Kiểm nguồn hiện hành</x:v>
      </x:c>
      <x:c r="C8" s="22" t="str">
        <x:v>Publish Source Matrix + Home Credit official</x:v>
      </x:c>
      <x:c r="D8" s="22" t="str">
        <x:v>Claim volatile phải verify trước publish</x:v>
      </x:c>
      <x:c r="E8" s="22" t="str">
        <x:v>Evidence ready</x:v>
      </x:c>
      <x:c r="F8" s="22" t="str">
        <x:v>Nguồn bắt buộc unavailable/contradictory</x:v>
      </x:c>
      <x:c r="G8" s="22" t="str">
        <x:v>Last Checked + Source gate</x:v>
      </x:c>
      <x:c r="H8" s="22" t="str">
        <x:v>Codex</x:v>
      </x:c>
    </x:row>
    <x:row r="9">
      <x:c r="A9" s="22" t="n">
        <x:v>5</x:v>
      </x:c>
      <x:c r="B9" s="22" t="str">
        <x:v>Triển khai bằng UI hiện tại</x:v>
      </x:c>
      <x:c r="C9" s="22" t="str">
        <x:v>Execution Briefs + CTA Matrix + project components</x:v>
      </x:c>
      <x:c r="D9" s="22" t="str">
        <x:v>Reuse components; không redesign</x:v>
      </x:c>
      <x:c r="E9" s="22" t="str">
        <x:v>Code/content changes</x:v>
      </x:c>
      <x:c r="F9" s="22" t="str">
        <x:v>Cần secret/permission mới</x:v>
      </x:c>
      <x:c r="G9" s="22" t="str">
        <x:v>Files/route changed</x:v>
      </x:c>
      <x:c r="H9" s="22" t="str">
        <x:v>Codex</x:v>
      </x:c>
    </x:row>
    <x:row r="10">
      <x:c r="A10" s="22" t="n">
        <x:v>6</x:v>
      </x:c>
      <x:c r="B10" s="22" t="str">
        <x:v>Quality checks</x:v>
      </x:c>
      <x:c r="C10" s="22" t="str">
        <x:v>Project scripts</x:v>
      </x:c>
      <x:c r="D10" s="22" t="str">
        <x:v>Lint/typecheck/test/build theo project</x:v>
      </x:c>
      <x:c r="E10" s="22" t="str">
        <x:v>Pass/fail evidence</x:v>
      </x:c>
      <x:c r="F10" s="22" t="str">
        <x:v>Lỗi mới không thể sửa an toàn</x:v>
      </x:c>
      <x:c r="G10" s="22" t="str">
        <x:v>Run Log checks</x:v>
      </x:c>
      <x:c r="H10" s="22" t="str">
        <x:v>Codex</x:v>
      </x:c>
    </x:row>
    <x:row r="11">
      <x:c r="A11" s="22" t="n">
        <x:v>7</x:v>
      </x:c>
      <x:c r="B11" s="22" t="str">
        <x:v>Git + deploy</x:v>
      </x:c>
      <x:c r="C11" s="22" t="str">
        <x:v>Existing GitHub/Cloudflare workflow</x:v>
      </x:c>
      <x:c r="D11" s="22" t="str">
        <x:v>Commit/push/deploy khi quyền đã có</x:v>
      </x:c>
      <x:c r="E11" s="22" t="str">
        <x:v>Production state</x:v>
      </x:c>
      <x:c r="F11" s="22" t="str">
        <x:v>Thiếu credential/quyền</x:v>
      </x:c>
      <x:c r="G11" s="22" t="str">
        <x:v>Commit/deploy fields</x:v>
      </x:c>
      <x:c r="H11" s="22" t="str">
        <x:v>Codex</x:v>
      </x:c>
    </x:row>
    <x:row r="12">
      <x:c r="A12" s="22" t="n">
        <x:v>8</x:v>
      </x:c>
      <x:c r="B12" s="22" t="str">
        <x:v>Production verify</x:v>
      </x:c>
      <x:c r="C12" s="22" t="str">
        <x:v>1phutdangky.com</x:v>
      </x:c>
      <x:c r="D12" s="22" t="str">
        <x:v>URL, canonical, CTA, source, mobile, runtime</x:v>
      </x:c>
      <x:c r="E12" s="22" t="str">
        <x:v>Verified</x:v>
      </x:c>
      <x:c r="F12" s="22" t="str">
        <x:v>Production regression nghiêm trọng</x:v>
      </x:c>
      <x:c r="G12" s="22" t="str">
        <x:v>Queue → Done / Blocked</x:v>
      </x:c>
      <x:c r="H12" s="22" t="str">
        <x:v>Codex</x:v>
      </x:c>
    </x:row>
    <x:row r="13">
      <x:c r="A13" s="22" t="n">
        <x:v>9</x:v>
      </x:c>
      <x:c r="B13" s="22" t="str">
        <x:v>Chọn item tiếp theo</x:v>
      </x:c>
      <x:c r="C13" s="22" t="str">
        <x:v>Evergreen Queue</x:v>
      </x:c>
      <x:c r="D13" s="22" t="str">
        <x:v>Lần chạy sau tự lấy Ready đầu tiên</x:v>
      </x:c>
      <x:c r="E13" s="22" t="str">
        <x:v>Engine ready</x:v>
      </x:c>
      <x:c r="F13" s="22" t="str">
        <x:v>Không còn Ready</x:v>
      </x:c>
      <x:c r="G13" s="22" t="str">
        <x:v>Discovery Mode</x:v>
      </x:c>
      <x:c r="H13" s="22" t="str">
        <x:v>Codex</x:v>
      </x:c>
    </x:row>
    <x:row r="14">
      <x:c r="A14" s="22" t="n">
        <x:v>10</x:v>
      </x:c>
      <x:c r="B14" s="22" t="str">
        <x:v>Discovery Mode</x:v>
      </x:c>
      <x:c r="C14" s="22" t="str">
        <x:v>Discovery Rules + Search Console nếu có + SERP + official sources</x:v>
      </x:c>
      <x:c r="D14" s="22" t="str">
        <x:v>Tạo 3–5 candidate, chấm điểm, chống cannibalization</x:v>
      </x:c>
      <x:c r="E14" s="22" t="str">
        <x:v>Candidate mới vào queue</x:v>
      </x:c>
      <x:c r="F14" s="22" t="str">
        <x:v>Không có topic đủ chuẩn</x:v>
      </x:c>
      <x:c r="G14" s="22" t="str">
        <x:v>Log discovery result</x:v>
      </x:c>
      <x:c r="H14" s="22" t="str">
        <x:v>Codex</x:v>
      </x:c>
    </x:row>
    <x:row r="16">
      <x:c r="A16" s="67" t="str">
        <x:v>Non-negotiable operating rules</x:v>
      </x:c>
      <x:c r="B16" s="67"/>
      <x:c r="C16" s="67"/>
      <x:c r="D16" s="67"/>
      <x:c r="E16" s="67"/>
      <x:c r="F16" s="67"/>
      <x:c r="G16" s="67"/>
      <x:c r="H16" s="67"/>
    </x:row>
    <x:row r="17">
      <x:c r="A17" s="64" t="str">
        <x:v>Rule</x:v>
      </x:c>
      <x:c r="B17" s="64" t="str">
        <x:v>Requirement</x:v>
      </x:c>
      <x:c r="C17" s="22" t="str"/>
      <x:c r="D17" s="22" t="str"/>
      <x:c r="E17" s="22" t="str"/>
      <x:c r="F17" s="22" t="str"/>
      <x:c r="G17" s="22" t="str"/>
      <x:c r="H17" s="22" t="str"/>
    </x:row>
    <x:row r="18">
      <x:c r="A18" s="22" t="str">
        <x:v>One command</x:v>
      </x:c>
      <x:c r="B18" s="22" t="str">
        <x:v>User chỉ cần nói: Bắt đầu tạo bài mới Home Credit</x:v>
      </x:c>
      <x:c r="C18" s="22" t="str"/>
      <x:c r="D18" s="22" t="str"/>
      <x:c r="E18" s="22" t="str"/>
      <x:c r="F18" s="22" t="str"/>
      <x:c r="G18" s="22" t="str"/>
      <x:c r="H18" s="22" t="str"/>
    </x:row>
    <x:row r="19">
      <x:c r="A19" s="22" t="str">
        <x:v>No calendar dependency</x:v>
      </x:c>
      <x:c r="B19" s="22" t="str">
        <x:v>Không phụ thuộc Day 1–60; 60-day schedule chỉ là backlog khởi tạo.</x:v>
      </x:c>
      <x:c r="C19" s="22" t="str"/>
      <x:c r="D19" s="22" t="str"/>
      <x:c r="E19" s="22" t="str"/>
      <x:c r="F19" s="22" t="str"/>
      <x:c r="G19" s="22" t="str"/>
      <x:c r="H19" s="22" t="str"/>
    </x:row>
    <x:row r="20">
      <x:c r="A20" s="22" t="str">
        <x:v>No forced URL</x:v>
      </x:c>
      <x:c r="B20" s="22" t="str">
        <x:v>Không tạo URL mới chỉ để có 'bài mới'; section/update vẫn được coi là một content run hoàn chỉnh.</x:v>
      </x:c>
      <x:c r="C20" s="22" t="str"/>
      <x:c r="D20" s="22" t="str"/>
      <x:c r="E20" s="22" t="str"/>
      <x:c r="F20" s="22" t="str"/>
      <x:c r="G20" s="22" t="str"/>
      <x:c r="H20" s="22" t="str"/>
    </x:row>
    <x:row r="21">
      <x:c r="A21" s="22" t="str">
        <x:v>No user micromanagement</x:v>
      </x:c>
      <x:c r="B21" s="22" t="str">
        <x:v>Không hỏi user chọn title/topic/URL nếu workbook đã có đủ rule để tự quyết.</x:v>
      </x:c>
      <x:c r="C21" s="22" t="str"/>
      <x:c r="D21" s="22" t="str"/>
      <x:c r="E21" s="22" t="str"/>
      <x:c r="F21" s="22" t="str"/>
      <x:c r="G21" s="22" t="str"/>
      <x:c r="H21" s="22" t="str"/>
    </x:row>
    <x:row r="22">
      <x:c r="A22" s="22" t="str">
        <x:v>Source freshness</x:v>
      </x:c>
      <x:c r="B22" s="22" t="str">
        <x:v>Lãi/phí/điều kiện/thẻ/promo phải kiểm nguồn chính thức tại lần chạy.</x:v>
      </x:c>
      <x:c r="C22" s="22" t="str"/>
      <x:c r="D22" s="22" t="str"/>
      <x:c r="E22" s="22" t="str"/>
      <x:c r="F22" s="22" t="str"/>
      <x:c r="G22" s="22" t="str"/>
      <x:c r="H22" s="22" t="str"/>
    </x:row>
    <x:row r="23">
      <x:c r="A23" s="22" t="str">
        <x:v>State persistence</x:v>
      </x:c>
      <x:c r="B23" s="22" t="str">
        <x:v>Mỗi run bắt buộc cập nhật Evergreen Queue + Run Log để lần sau biết đã làm tới đâu.</x:v>
      </x:c>
      <x:c r="C23" s="22" t="str"/>
      <x:c r="D23" s="22" t="str"/>
      <x:c r="E23" s="22" t="str"/>
      <x:c r="F23" s="22" t="str"/>
      <x:c r="G23" s="22" t="str"/>
      <x:c r="H23" s="22" t="str"/>
    </x:row>
    <x:row r="24">
      <x:c r="A24" s="22" t="str">
        <x:v>UI preservation</x:v>
      </x:c>
      <x:c r="B24" s="22" t="str">
        <x:v>Giữ UI/design system hiện tại của 1phutdangky.com.</x:v>
      </x:c>
      <x:c r="C24" s="22" t="str"/>
      <x:c r="D24" s="22" t="str"/>
      <x:c r="E24" s="22" t="str"/>
      <x:c r="F24" s="22" t="str"/>
      <x:c r="G24" s="22" t="str"/>
      <x:c r="H24" s="22" t="str"/>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HOME CREDIT CONTENT ENGINE</x:v>
      </x:c>
      <x:c r="B1" s="58"/>
      <x:c r="C1" s="58"/>
      <x:c r="D1" s="58"/>
      <x:c r="E1" s="58"/>
      <x:c r="F1" s="58"/>
      <x:c r="G1" s="58"/>
      <x:c r="H1" s="58"/>
      <x:c r="I1" s="58"/>
      <x:c r="J1" s="58"/>
      <x:c r="K1" s="58"/>
      <x:c r="L1" s="58"/>
      <x:c r="M1" s="58"/>
      <x:c r="N1" s="58"/>
      <x:c r="O1" s="58"/>
      <x:c r="P1" s="58"/>
      <x:c r="Q1" s="58"/>
      <x:c r="R1" s="58"/>
    </x:row>
    <x:row r="2">
      <x:c r="A2" s="60" t="str">
        <x:v>Queue này không có ngày kết thúc. 60-day plan được dùng làm backlog ban đầu. Khi hết Ready items, Codex chạy Discovery Mode và append candidate mới.</x:v>
      </x:c>
      <x:c r="B2" s="60"/>
      <x:c r="C2" s="60"/>
      <x:c r="D2" s="60"/>
      <x:c r="E2" s="60"/>
      <x:c r="F2" s="60"/>
      <x:c r="G2" s="60"/>
      <x:c r="H2" s="60"/>
      <x:c r="I2" s="60"/>
      <x:c r="J2" s="60"/>
      <x:c r="K2" s="60"/>
      <x:c r="L2" s="60"/>
      <x:c r="M2" s="60"/>
      <x:c r="N2" s="60"/>
      <x:c r="O2" s="60"/>
      <x:c r="P2" s="60"/>
      <x:c r="Q2" s="60"/>
      <x:c r="R2" s="60"/>
    </x:row>
    <x:row r="4">
      <x:c r="A4" s="64" t="str">
        <x:v>Queue #</x:v>
      </x:c>
      <x:c r="B4" s="64" t="str">
        <x:v>Asset ID</x:v>
      </x:c>
      <x:c r="C4" s="64" t="str">
        <x:v>Topic / Task</x:v>
      </x:c>
      <x:c r="D4" s="64" t="str">
        <x:v>Product</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L-PILLAR</x:v>
      </x:c>
      <x:c r="C5" s="22" t="str">
        <x:v>Update: Vay tiền mặt Home Credit online</x:v>
      </x:c>
      <x:c r="D5" s="22" t="str">
        <x:v>Cash Loan</x:v>
      </x:c>
      <x:c r="E5" s="22" t="str">
        <x:v>Transactional</x:v>
      </x:c>
      <x:c r="F5" s="22" t="str">
        <x:v>Update existing</x:v>
      </x:c>
      <x:c r="G5" s="22" t="str">
        <x:v>Keep URL</x:v>
      </x:c>
      <x:c r="H5" s="22" t="str">
        <x:v>Pillar L</x:v>
      </x:c>
      <x:c r="I5" s="22" t="str">
        <x:v>High</x:v>
      </x:c>
      <x:c r="J5" s="22" t="str">
        <x:v>S1/S2/S3</x:v>
      </x:c>
      <x:c r="K5" s="22" t="str">
        <x:v>P0</x:v>
      </x:c>
      <x:c xmlns:x="http://schemas.openxmlformats.org/spreadsheetml/2006/main" r="L5" s="22" t="str">
        <x:v>Done</x:v>
      </x:c>
      <x:c r="M5" s="22" t="str">
        <x:v>Initial 60-day backlog / Day 1</x:v>
      </x:c>
      <x:c xmlns:x="http://schemas.openxmlformats.org/spreadsheetml/2006/main" r="N5" s="22" t="str">
        <x:v>2026-10-28</x:v>
      </x:c>
      <x:c xmlns:x="http://schemas.openxmlformats.org/spreadsheetml/2006/main" r="O5" s="22" t="str">
        <x:v>https://1phutdangky.com/vay-tien-mat/vay-tien-mat-home-credit-online/</x:v>
      </x:c>
      <x:c xmlns:x="http://schemas.openxmlformats.org/spreadsheetml/2006/main" r="P5" s="22" t="str">
        <x:v>50f56521c5afae1afc102cbc694d1fd6b68619b2</x:v>
      </x:c>
      <x:c xmlns:x="http://schemas.openxmlformats.org/spreadsheetml/2006/main" r="Q5" s="22" t="str">
        <x:v>Cloudflare Pages success fcfa3d65-3191-4ac5-8d28-8498798a6986; production verified 2026-10-28</x:v>
      </x:c>
      <x:c xmlns:x="http://schemas.openxmlformats.org/spreadsheetml/2006/main" r="R5" s="22" t="str">
        <x:v>Resumed by explicit owner request. Approved public app link replaces broken URL; code 00064470 entered in app. Existing canonical, UI, title ending online and consent-aware analytics preserved.</x:v>
      </x:c>
    </x:row>
    <x:row r="6">
      <x:c r="A6" s="22" t="n">
        <x:v>2</x:v>
      </x:c>
      <x:c r="B6" s="22" t="str">
        <x:v>C-PILLAR</x:v>
      </x:c>
      <x:c r="C6" s="22" t="str">
        <x:v>Publish: Mở thẻ tín dụng Home Credit online</x:v>
      </x:c>
      <x:c r="D6" s="22" t="str">
        <x:v>Credit Card</x:v>
      </x:c>
      <x:c r="E6" s="22" t="str">
        <x:v>Transactional</x:v>
      </x:c>
      <x:c r="F6" s="22" t="str">
        <x:v>New article</x:v>
      </x:c>
      <x:c r="G6" s="22" t="str">
        <x:v>Create candidate card URL</x:v>
      </x:c>
      <x:c r="H6" s="22" t="str">
        <x:v>Pillar C</x:v>
      </x:c>
      <x:c r="I6" s="22" t="str">
        <x:v>High</x:v>
      </x:c>
      <x:c r="J6" s="22" t="str">
        <x:v>S6/S7/S8</x:v>
      </x:c>
      <x:c r="K6" s="22" t="str">
        <x:v>P0</x:v>
      </x:c>
      <x:c xmlns:x="http://schemas.openxmlformats.org/spreadsheetml/2006/main" r="L6" s="22" t="str">
        <x:v>Done</x:v>
      </x:c>
      <x:c r="M6" s="22" t="str">
        <x:v>Initial 60-day backlog / Day 2</x:v>
      </x:c>
      <x:c xmlns:x="http://schemas.openxmlformats.org/spreadsheetml/2006/main" r="N6" s="22" t="str">
        <x:v>2026-10-29</x:v>
      </x:c>
      <x:c xmlns:x="http://schemas.openxmlformats.org/spreadsheetml/2006/main" r="O6" s="22" t="str">
        <x:v>https://1phutdangky.com/the-tin-dung/mo-the-tin-dung-home-credit-online/</x:v>
      </x:c>
      <x:c xmlns:x="http://schemas.openxmlformats.org/spreadsheetml/2006/main" r="P6" s="22" t="str">
        <x:v>273e42760718aa80e4c68301cca0c0bab0f2c8ea</x:v>
      </x:c>
      <x:c xmlns:x="http://schemas.openxmlformats.org/spreadsheetml/2006/main" r="Q6" s="22" t="str">
        <x:v>Cloudflare Pages success 406a64e3-c6f8-498e-bd9b-e771fb96d869; production verified 2026-10-29</x:v>
      </x:c>
      <x:c xmlns:x="http://schemas.openxmlformats.org/spreadsheetml/2006/main" r="R6" s="22" t="str">
        <x:v>Queue2 C-PILLAR only. New separate credit-card product and pillar; exact owner-approved generic App OneLink and support code00064470, no card-specific attribution/approval promise. Current04Sep2026 tariff columns and16Jul2026 TnC govern; distinct loan owner retained with reciprocal bridge. Shared UI/title visuals untouched.</x:v>
      </x:c>
    </x:row>
    <x:row r="7">
      <x:c r="A7" s="22" t="n">
        <x:v>3</x:v>
      </x:c>
      <x:c r="B7" s="22" t="str">
        <x:v>L-RATE</x:v>
      </x:c>
      <x:c r="C7" s="22" t="str">
        <x:v>Lãi suất vay tiền mặt Home Credit: cách đọc</x:v>
      </x:c>
      <x:c r="D7" s="22" t="str">
        <x:v>Cash Loan</x:v>
      </x:c>
      <x:c r="E7" s="22" t="str">
        <x:v>Cost</x:v>
      </x:c>
      <x:c r="F7" s="22" t="str">
        <x:v>New article</x:v>
      </x:c>
      <x:c r="G7" s="22" t="str">
        <x:v>Create support URL</x:v>
      </x:c>
      <x:c r="H7" s="22" t="str">
        <x:v>Pillar L</x:v>
      </x:c>
      <x:c r="I7" s="22" t="str">
        <x:v>Medium</x:v>
      </x:c>
      <x:c r="J7" s="22" t="str">
        <x:v>S1/S2</x:v>
      </x:c>
      <x:c r="K7" s="22" t="str">
        <x:v>P0</x:v>
      </x:c>
      <x:c r="L7" s="22" t="str">
        <x:v>Ready</x:v>
      </x:c>
      <x:c r="M7" s="22" t="str">
        <x:v>Initial 60-day backlog / Day 3</x:v>
      </x:c>
      <x:c r="N7" s="22"/>
      <x:c r="O7" s="22"/>
      <x:c r="P7" s="22"/>
      <x:c r="Q7" s="22"/>
      <x:c r="R7" s="22" t="str">
        <x:v>Flat vs declining balance</x:v>
      </x:c>
    </x:row>
    <x:row r="8">
      <x:c r="A8" s="22" t="n">
        <x:v>4</x:v>
      </x:c>
      <x:c r="B8" s="22" t="str">
        <x:v>L-REJECT</x:v>
      </x:c>
      <x:c r="C8" s="22" t="str">
        <x:v>Hồ sơ vay Home Credit bị từ chối</x:v>
      </x:c>
      <x:c r="D8" s="22" t="str">
        <x:v>Cash Loan</x:v>
      </x:c>
      <x:c r="E8" s="22" t="str">
        <x:v>Troubleshooting</x:v>
      </x:c>
      <x:c r="F8" s="22" t="str">
        <x:v>New article</x:v>
      </x:c>
      <x:c r="G8" s="22" t="str">
        <x:v>Create support URL</x:v>
      </x:c>
      <x:c r="H8" s="22" t="str">
        <x:v>Pillar L</x:v>
      </x:c>
      <x:c r="I8" s="22" t="str">
        <x:v>Low-Medium</x:v>
      </x:c>
      <x:c r="J8" s="22" t="str">
        <x:v>S4/S5</x:v>
      </x:c>
      <x:c r="K8" s="22" t="str">
        <x:v>P0</x:v>
      </x:c>
      <x:c r="L8" s="22" t="str">
        <x:v>Ready</x:v>
      </x:c>
      <x:c r="M8" s="22" t="str">
        <x:v>Initial 60-day backlog / Day 4</x:v>
      </x:c>
      <x:c r="N8" s="22"/>
      <x:c r="O8" s="22"/>
      <x:c r="P8" s="22"/>
      <x:c r="Q8" s="22"/>
      <x:c r="R8" s="22" t="str">
        <x:v>No scoring bypass</x:v>
      </x:c>
    </x:row>
    <x:row r="9">
      <x:c r="A9" s="22" t="n">
        <x:v>5</x:v>
      </x:c>
      <x:c r="B9" s="22" t="str">
        <x:v>L-COST</x:v>
      </x:c>
      <x:c r="C9" s="22" t="str">
        <x:v>Vay Home Credit có phí gì?</x:v>
      </x:c>
      <x:c r="D9" s="22" t="str">
        <x:v>Cash Loan</x:v>
      </x:c>
      <x:c r="E9" s="22" t="str">
        <x:v>Cost</x:v>
      </x:c>
      <x:c r="F9" s="22" t="str">
        <x:v>New article</x:v>
      </x:c>
      <x:c r="G9" s="22" t="str">
        <x:v>Create support URL</x:v>
      </x:c>
      <x:c r="H9" s="22" t="str">
        <x:v>Pillar L</x:v>
      </x:c>
      <x:c r="I9" s="22" t="str">
        <x:v>Medium</x:v>
      </x:c>
      <x:c r="J9" s="22" t="str">
        <x:v>S1 + contract lookup</x:v>
      </x:c>
      <x:c r="K9" s="22" t="str">
        <x:v>P0</x:v>
      </x:c>
      <x:c r="L9" s="22" t="str">
        <x:v>Ready</x:v>
      </x:c>
      <x:c r="M9" s="22" t="str">
        <x:v>Initial 60-day backlog / Day 5</x:v>
      </x:c>
      <x:c r="N9" s="22"/>
      <x:c r="O9" s="22"/>
      <x:c r="P9" s="22"/>
      <x:c r="Q9" s="22"/>
      <x:c r="R9" s="22" t="str">
        <x:v>Insurance/fees/early settlement</x:v>
      </x:c>
    </x:row>
    <x:row r="10">
      <x:c r="A10" s="22" t="n">
        <x:v>6</x:v>
      </x:c>
      <x:c r="B10" s="22" t="str">
        <x:v>C-COST</x:v>
      </x:c>
      <x:c r="C10" s="22" t="str">
        <x:v>Phí và lãi suất thẻ tín dụng Home Credit</x:v>
      </x:c>
      <x:c r="D10" s="22" t="str">
        <x:v>Credit Card</x:v>
      </x:c>
      <x:c r="E10" s="22" t="str">
        <x:v>Cost</x:v>
      </x:c>
      <x:c r="F10" s="22" t="str">
        <x:v>New article</x:v>
      </x:c>
      <x:c r="G10" s="22" t="str">
        <x:v>Create support URL</x:v>
      </x:c>
      <x:c r="H10" s="22" t="str">
        <x:v>Pillar C</x:v>
      </x:c>
      <x:c r="I10" s="22" t="str">
        <x:v>Medium</x:v>
      </x:c>
      <x:c r="J10" s="22" t="str">
        <x:v>S8</x:v>
      </x:c>
      <x:c r="K10" s="22" t="str">
        <x:v>P0</x:v>
      </x:c>
      <x:c r="L10" s="22" t="str">
        <x:v>Ready</x:v>
      </x:c>
      <x:c r="M10" s="22" t="str">
        <x:v>Initial 60-day backlog / Day 6</x:v>
      </x:c>
      <x:c r="N10" s="22"/>
      <x:c r="O10" s="22"/>
      <x:c r="P10" s="22"/>
      <x:c r="Q10" s="22"/>
      <x:c r="R10" s="22" t="str">
        <x:v>Latest effective tariff only</x:v>
      </x:c>
    </x:row>
    <x:row r="11">
      <x:c r="A11" s="22" t="n">
        <x:v>7</x:v>
      </x:c>
      <x:c r="B11" s="22" t="str">
        <x:v>C-CASH</x:v>
      </x:c>
      <x:c r="C11" s="22" t="str">
        <x:v>Rút tiền mặt từ thẻ tín dụng Home Credit</x:v>
      </x:c>
      <x:c r="D11" s="22" t="str">
        <x:v>Credit Card</x:v>
      </x:c>
      <x:c r="E11" s="22" t="str">
        <x:v>Cash advance</x:v>
      </x:c>
      <x:c r="F11" s="22" t="str">
        <x:v>New article</x:v>
      </x:c>
      <x:c r="G11" s="22" t="str">
        <x:v>Create support URL</x:v>
      </x:c>
      <x:c r="H11" s="22" t="str">
        <x:v>Pillar C</x:v>
      </x:c>
      <x:c r="I11" s="22" t="str">
        <x:v>Low</x:v>
      </x:c>
      <x:c r="J11" s="22" t="str">
        <x:v>S7/S8</x:v>
      </x:c>
      <x:c r="K11" s="22" t="str">
        <x:v>P0</x:v>
      </x:c>
      <x:c r="L11" s="22" t="str">
        <x:v>Ready</x:v>
      </x:c>
      <x:c r="M11" s="22" t="str">
        <x:v>Initial 60-day backlog / Day 7</x:v>
      </x:c>
      <x:c r="N11" s="22"/>
      <x:c r="O11" s="22"/>
      <x:c r="P11" s="22"/>
      <x:c r="Q11" s="22"/>
      <x:c r="R11" s="22" t="str">
        <x:v>Do not encourage borrowing via cash advance</x:v>
      </x:c>
    </x:row>
    <x:row r="12">
      <x:c r="A12" s="22" t="n">
        <x:v>8</x:v>
      </x:c>
      <x:c r="B12" s="22" t="str">
        <x:v>C-INSTALL</x:v>
      </x:c>
      <x:c r="C12" s="22" t="str">
        <x:v>Trả góp thẻ tín dụng Home Credit</x:v>
      </x:c>
      <x:c r="D12" s="22" t="str">
        <x:v>Credit Card</x:v>
      </x:c>
      <x:c r="E12" s="22" t="str">
        <x:v>Installment</x:v>
      </x:c>
      <x:c r="F12" s="22" t="str">
        <x:v>New article</x:v>
      </x:c>
      <x:c r="G12" s="22" t="str">
        <x:v>Create support URL</x:v>
      </x:c>
      <x:c r="H12" s="22" t="str">
        <x:v>Pillar C</x:v>
      </x:c>
      <x:c r="I12" s="22" t="str">
        <x:v>Low</x:v>
      </x:c>
      <x:c r="J12" s="22" t="str">
        <x:v>S8</x:v>
      </x:c>
      <x:c r="K12" s="22" t="str">
        <x:v>P0</x:v>
      </x:c>
      <x:c r="L12" s="22" t="str">
        <x:v>Ready</x:v>
      </x:c>
      <x:c r="M12" s="22" t="str">
        <x:v>Initial 60-day backlog / Day 8</x:v>
      </x:c>
      <x:c r="N12" s="22"/>
      <x:c r="O12" s="22"/>
      <x:c r="P12" s="22"/>
      <x:c r="Q12" s="22"/>
      <x:c r="R12" s="22" t="str">
        <x:v>Latest terms only</x:v>
      </x:c>
    </x:row>
    <x:row r="13">
      <x:c r="A13" s="22" t="n">
        <x:v>9</x:v>
      </x:c>
      <x:c r="B13" s="22" t="str">
        <x:v>L-NEED</x:v>
      </x:c>
      <x:c r="C13" s="22" t="str">
        <x:v>Vay Home Credit cần gì?</x:v>
      </x:c>
      <x:c r="D13" s="22" t="str">
        <x:v>Cash Loan</x:v>
      </x:c>
      <x:c r="E13" s="22" t="str">
        <x:v>Eligibility</x:v>
      </x:c>
      <x:c r="F13" s="22" t="str">
        <x:v>New article</x:v>
      </x:c>
      <x:c r="G13" s="22" t="str">
        <x:v>Create support URL</x:v>
      </x:c>
      <x:c r="H13" s="22" t="str">
        <x:v>Pillar L</x:v>
      </x:c>
      <x:c r="I13" s="22" t="str">
        <x:v>Medium</x:v>
      </x:c>
      <x:c r="J13" s="22" t="str">
        <x:v>S3</x:v>
      </x:c>
      <x:c r="K13" s="22" t="str">
        <x:v>P1</x:v>
      </x:c>
      <x:c r="L13" s="22" t="str">
        <x:v>Ready</x:v>
      </x:c>
      <x:c r="M13" s="22" t="str">
        <x:v>Initial 60-day backlog / Day 9</x:v>
      </x:c>
      <x:c r="N13" s="22"/>
      <x:c r="O13" s="22"/>
      <x:c r="P13" s="22"/>
      <x:c r="Q13" s="22"/>
      <x:c r="R13" s="22" t="str">
        <x:v>Qualification</x:v>
      </x:c>
    </x:row>
    <x:row r="14">
      <x:c r="A14" s="22" t="n">
        <x:v>10</x:v>
      </x:c>
      <x:c r="B14" s="22" t="str">
        <x:v>L-TIME</x:v>
      </x:c>
      <x:c r="C14" s="22" t="str">
        <x:v>Home Credit duyệt hồ sơ và giải ngân bao lâu?</x:v>
      </x:c>
      <x:c r="D14" s="22" t="str">
        <x:v>Cash Loan</x:v>
      </x:c>
      <x:c r="E14" s="22" t="str">
        <x:v>Timing</x:v>
      </x:c>
      <x:c r="F14" s="22" t="str">
        <x:v>Conditional article</x:v>
      </x:c>
      <x:c r="G14" s="22" t="str">
        <x:v>Conditional URL</x:v>
      </x:c>
      <x:c r="H14" s="22" t="str">
        <x:v>Pillar L</x:v>
      </x:c>
      <x:c r="I14" s="22" t="str">
        <x:v>Low-Medium</x:v>
      </x:c>
      <x:c r="J14" s="22" t="str">
        <x:v>S1</x:v>
      </x:c>
      <x:c r="K14" s="22" t="str">
        <x:v>P1</x:v>
      </x:c>
      <x:c r="L14" s="22" t="str">
        <x:v>Research</x:v>
      </x:c>
      <x:c r="M14" s="22" t="str">
        <x:v>Initial 60-day backlog / Day 10</x:v>
      </x:c>
      <x:c r="N14" s="22"/>
      <x:c r="O14" s="22"/>
      <x:c r="P14" s="22"/>
      <x:c r="Q14" s="22"/>
      <x:c r="R14" s="22" t="str">
        <x:v>Could be FAQ</x:v>
      </x:c>
    </x:row>
    <x:row r="15">
      <x:c r="A15" s="22" t="n">
        <x:v>11</x:v>
      </x:c>
      <x:c r="B15" s="22" t="str">
        <x:v>L-PAY</x:v>
      </x:c>
      <x:c r="C15" s="22" t="str">
        <x:v>Thanh toán khoản vay Home Credit</x:v>
      </x:c>
      <x:c r="D15" s="22" t="str">
        <x:v>Cash Loan</x:v>
      </x:c>
      <x:c r="E15" s="22" t="str">
        <x:v>Servicing</x:v>
      </x:c>
      <x:c r="F15" s="22" t="str">
        <x:v>New article</x:v>
      </x:c>
      <x:c r="G15" s="22" t="str">
        <x:v>Create support URL</x:v>
      </x:c>
      <x:c r="H15" s="22" t="str">
        <x:v>Pillar L</x:v>
      </x:c>
      <x:c r="I15" s="22" t="str">
        <x:v>Low</x:v>
      </x:c>
      <x:c r="J15" s="22" t="str">
        <x:v>S9</x:v>
      </x:c>
      <x:c r="K15" s="22" t="str">
        <x:v>P1</x:v>
      </x:c>
      <x:c r="L15" s="22" t="str">
        <x:v>Ready</x:v>
      </x:c>
      <x:c r="M15" s="22" t="str">
        <x:v>Initial 60-day backlog / Day 11</x:v>
      </x:c>
      <x:c r="N15" s="22"/>
      <x:c r="O15" s="22"/>
      <x:c r="P15" s="22"/>
      <x:c r="Q15" s="22"/>
      <x:c r="R15" s="22" t="str">
        <x:v>Post-action</x:v>
      </x:c>
    </x:row>
    <x:row r="16">
      <x:c r="A16" s="22" t="n">
        <x:v>12</x:v>
      </x:c>
      <x:c r="B16" s="22" t="str">
        <x:v>C-NEED</x:v>
      </x:c>
      <x:c r="C16" s="22" t="str">
        <x:v>Điều kiện mở thẻ tín dụng Home Credit</x:v>
      </x:c>
      <x:c r="D16" s="22" t="str">
        <x:v>Credit Card</x:v>
      </x:c>
      <x:c r="E16" s="22" t="str">
        <x:v>Eligibility</x:v>
      </x:c>
      <x:c r="F16" s="22" t="str">
        <x:v>New article</x:v>
      </x:c>
      <x:c r="G16" s="22" t="str">
        <x:v>Create support URL</x:v>
      </x:c>
      <x:c r="H16" s="22" t="str">
        <x:v>Pillar C</x:v>
      </x:c>
      <x:c r="I16" s="22" t="str">
        <x:v>Medium</x:v>
      </x:c>
      <x:c r="J16" s="22" t="str">
        <x:v>S6</x:v>
      </x:c>
      <x:c r="K16" s="22" t="str">
        <x:v>P1</x:v>
      </x:c>
      <x:c r="L16" s="22" t="str">
        <x:v>Ready</x:v>
      </x:c>
      <x:c r="M16" s="22" t="str">
        <x:v>Initial 60-day backlog / Day 12</x:v>
      </x:c>
      <x:c r="N16" s="22"/>
      <x:c r="O16" s="22"/>
      <x:c r="P16" s="22"/>
      <x:c r="Q16" s="22"/>
      <x:c r="R16" s="22" t="str">
        <x:v>No approval promise</x:v>
      </x:c>
    </x:row>
    <x:row r="17">
      <x:c r="A17" s="22" t="n">
        <x:v>13</x:v>
      </x:c>
      <x:c r="B17" s="22" t="str">
        <x:v>C-STATEMENT</x:v>
      </x:c>
      <x:c r="C17" s="22" t="str">
        <x:v>Sao kê, ngày đến hạn và thanh toán tối thiểu</x:v>
      </x:c>
      <x:c r="D17" s="22" t="str">
        <x:v>Credit Card</x:v>
      </x:c>
      <x:c r="E17" s="22" t="str">
        <x:v>Billing</x:v>
      </x:c>
      <x:c r="F17" s="22" t="str">
        <x:v>New article</x:v>
      </x:c>
      <x:c r="G17" s="22" t="str">
        <x:v>Create support URL</x:v>
      </x:c>
      <x:c r="H17" s="22" t="str">
        <x:v>Pillar C</x:v>
      </x:c>
      <x:c r="I17" s="22" t="str">
        <x:v>Low</x:v>
      </x:c>
      <x:c r="J17" s="22" t="str">
        <x:v>S7/S8</x:v>
      </x:c>
      <x:c r="K17" s="22" t="str">
        <x:v>P1</x:v>
      </x:c>
      <x:c r="L17" s="22" t="str">
        <x:v>Ready</x:v>
      </x:c>
      <x:c r="M17" s="22" t="str">
        <x:v>Initial 60-day backlog / Day 13</x:v>
      </x:c>
      <x:c r="N17" s="22"/>
      <x:c r="O17" s="22"/>
      <x:c r="P17" s="22"/>
      <x:c r="Q17" s="22"/>
      <x:c r="R17" s="22" t="str">
        <x:v>Current rules</x:v>
      </x:c>
    </x:row>
    <x:row r="18">
      <x:c r="A18" s="22" t="n">
        <x:v>14</x:v>
      </x:c>
      <x:c r="B18" s="22" t="str">
        <x:v>C-ACTIVATE</x:v>
      </x:c>
      <x:c r="C18" s="22" t="str">
        <x:v>Cách kích hoạt thẻ tín dụng Home Credit</x:v>
      </x:c>
      <x:c r="D18" s="22" t="str">
        <x:v>Credit Card</x:v>
      </x:c>
      <x:c r="E18" s="22" t="str">
        <x:v>Activation</x:v>
      </x:c>
      <x:c r="F18" s="22" t="str">
        <x:v>Conditional article</x:v>
      </x:c>
      <x:c r="G18" s="22" t="str">
        <x:v>Conditional URL</x:v>
      </x:c>
      <x:c r="H18" s="22" t="str">
        <x:v>Pillar C</x:v>
      </x:c>
      <x:c r="I18" s="22" t="str">
        <x:v>Low</x:v>
      </x:c>
      <x:c r="J18" s="22" t="str">
        <x:v>S7</x:v>
      </x:c>
      <x:c r="K18" s="22" t="str">
        <x:v>P1</x:v>
      </x:c>
      <x:c r="L18" s="22" t="str">
        <x:v>Research</x:v>
      </x:c>
      <x:c r="M18" s="22" t="str">
        <x:v>Initial 60-day backlog / Day 14</x:v>
      </x:c>
      <x:c r="N18" s="22"/>
      <x:c r="O18" s="22"/>
      <x:c r="P18" s="22"/>
      <x:c r="Q18" s="22"/>
      <x:c r="R18" s="22" t="str">
        <x:v>Post-approval</x:v>
      </x:c>
    </x:row>
    <x:row r="19">
      <x:c r="A19" s="22" t="n">
        <x:v>15</x:v>
      </x:c>
      <x:c r="B19" s="22" t="str">
        <x:v>B-COMPARE</x:v>
      </x:c>
      <x:c r="C19" s="22" t="str">
        <x:v>Vay tiền mặt hay thẻ tín dụng Home Credit?</x:v>
      </x:c>
      <x:c r="D19" s="22" t="str">
        <x:v>Bridge</x:v>
      </x:c>
      <x:c r="E19" s="22" t="str">
        <x:v>Clarification</x:v>
      </x:c>
      <x:c r="F19" s="22" t="str">
        <x:v>New article</x:v>
      </x:c>
      <x:c r="G19" s="22" t="str">
        <x:v>Create bridge URL</x:v>
      </x:c>
      <x:c r="H19" s="22" t="str">
        <x:v>L↔C</x:v>
      </x:c>
      <x:c r="I19" s="22" t="str">
        <x:v>Low-Medium</x:v>
      </x:c>
      <x:c r="J19" s="22" t="str">
        <x:v>S1/S6/S8</x:v>
      </x:c>
      <x:c r="K19" s="22" t="str">
        <x:v>P1</x:v>
      </x:c>
      <x:c r="L19" s="22" t="str">
        <x:v>Ready</x:v>
      </x:c>
      <x:c r="M19" s="22" t="str">
        <x:v>Initial 60-day backlog / Day 15</x:v>
      </x:c>
      <x:c r="N19" s="22"/>
      <x:c r="O19" s="22"/>
      <x:c r="P19" s="22"/>
      <x:c r="Q19" s="22"/>
      <x:c r="R19" s="22" t="str">
        <x:v>No personalized recommendation</x:v>
      </x:c>
    </x:row>
    <x:row r="20">
      <x:c r="A20" s="22" t="n">
        <x:v>16</x:v>
      </x:c>
      <x:c r="B20" s="22" t="str">
        <x:v>L-AGE</x:v>
      </x:c>
      <x:c r="C20" s="22" t="str">
        <x:v>Bao nhiêu tuổi được vay tiền mặt Home Credit?</x:v>
      </x:c>
      <x:c r="D20" s="22" t="str">
        <x:v>Cash Loan</x:v>
      </x:c>
      <x:c r="E20" s="22" t="str">
        <x:v>Eligibility</x:v>
      </x:c>
      <x:c r="F20" s="22" t="str">
        <x:v>Section/article review</x:v>
      </x:c>
      <x:c r="G20" s="22" t="str">
        <x:v>No new URL by default</x:v>
      </x:c>
      <x:c r="H20" s="22" t="str">
        <x:v>L-NEED</x:v>
      </x:c>
      <x:c r="I20" s="22" t="str">
        <x:v>Medium</x:v>
      </x:c>
      <x:c r="J20" s="22" t="str">
        <x:v>S3 + current Home Credit age page</x:v>
      </x:c>
      <x:c r="K20" s="22" t="str">
        <x:v>P1</x:v>
      </x:c>
      <x:c r="L20" s="22" t="str">
        <x:v>Research</x:v>
      </x:c>
      <x:c r="M20" s="22" t="str">
        <x:v>Initial 60-day backlog / Day 16</x:v>
      </x:c>
      <x:c r="N20" s="22"/>
      <x:c r="O20" s="22"/>
      <x:c r="P20" s="22"/>
      <x:c r="Q20" s="22"/>
      <x:c r="R20" s="22" t="str">
        <x:v>YMYL</x:v>
      </x:c>
    </x:row>
    <x:row r="21">
      <x:c r="A21" s="22" t="n">
        <x:v>17</x:v>
      </x:c>
      <x:c r="B21" s="22" t="str">
        <x:v>L-INCOME</x:v>
      </x:c>
      <x:c r="C21" s="22" t="str">
        <x:v>Vay Home Credit có cần chứng minh thu nhập?</x:v>
      </x:c>
      <x:c r="D21" s="22" t="str">
        <x:v>Cash Loan</x:v>
      </x:c>
      <x:c r="E21" s="22" t="str">
        <x:v>Eligibility</x:v>
      </x:c>
      <x:c r="F21" s="22" t="str">
        <x:v>Section first</x:v>
      </x:c>
      <x:c r="G21" s="22" t="str">
        <x:v>No new URL by default</x:v>
      </x:c>
      <x:c r="H21" s="22" t="str">
        <x:v>L-NEED</x:v>
      </x:c>
      <x:c r="I21" s="22" t="str">
        <x:v>Medium</x:v>
      </x:c>
      <x:c r="J21" s="22" t="str">
        <x:v>S3</x:v>
      </x:c>
      <x:c r="K21" s="22" t="str">
        <x:v>P1</x:v>
      </x:c>
      <x:c r="L21" s="22" t="str">
        <x:v>Ready</x:v>
      </x:c>
      <x:c r="M21" s="22" t="str">
        <x:v>Initial 60-day backlog / Day 17</x:v>
      </x:c>
      <x:c r="N21" s="22"/>
      <x:c r="O21" s="22"/>
      <x:c r="P21" s="22"/>
      <x:c r="Q21" s="22"/>
      <x:c r="R21" s="22" t="str">
        <x:v>Different by requested limit</x:v>
      </x:c>
    </x:row>
    <x:row r="22">
      <x:c r="A22" s="22" t="n">
        <x:v>18</x:v>
      </x:c>
      <x:c r="B22" s="22" t="str">
        <x:v>L-LIMIT</x:v>
      </x:c>
      <x:c r="C22" s="22" t="str">
        <x:v>Hạn mức và kỳ hạn vay Home Credit</x:v>
      </x:c>
      <x:c r="D22" s="22" t="str">
        <x:v>Cash Loan</x:v>
      </x:c>
      <x:c r="E22" s="22" t="str">
        <x:v>Limit/term</x:v>
      </x:c>
      <x:c r="F22" s="22" t="str">
        <x:v>Section/table</x:v>
      </x:c>
      <x:c r="G22" s="22" t="str">
        <x:v>No new URL</x:v>
      </x:c>
      <x:c r="H22" s="22" t="str">
        <x:v>L-PILLAR</x:v>
      </x:c>
      <x:c r="I22" s="22" t="str">
        <x:v>Medium</x:v>
      </x:c>
      <x:c r="J22" s="22" t="str">
        <x:v>S1/S2</x:v>
      </x:c>
      <x:c r="K22" s="22" t="str">
        <x:v>P1</x:v>
      </x:c>
      <x:c r="L22" s="22" t="str">
        <x:v>Ready</x:v>
      </x:c>
      <x:c r="M22" s="22" t="str">
        <x:v>Initial 60-day backlog / Day 18</x:v>
      </x:c>
      <x:c r="N22" s="22"/>
      <x:c r="O22" s="22"/>
      <x:c r="P22" s="22"/>
      <x:c r="Q22" s="22"/>
      <x:c r="R22" s="22" t="str">
        <x:v>Dynamic</x:v>
      </x:c>
    </x:row>
    <x:row r="23">
      <x:c r="A23" s="22" t="n">
        <x:v>19</x:v>
      </x:c>
      <x:c r="B23" s="22" t="str">
        <x:v>L-REAPPLY</x:v>
      </x:c>
      <x:c r="C23" s="22" t="str">
        <x:v>Bị từ chối thì khi nào đăng ký lại?</x:v>
      </x:c>
      <x:c r="D23" s="22" t="str">
        <x:v>Cash Loan</x:v>
      </x:c>
      <x:c r="E23" s="22" t="str">
        <x:v>Troubleshooting</x:v>
      </x:c>
      <x:c r="F23" s="22" t="str">
        <x:v>Section</x:v>
      </x:c>
      <x:c r="G23" s="22" t="str">
        <x:v>No new URL</x:v>
      </x:c>
      <x:c r="H23" s="22" t="str">
        <x:v>L-REJECT</x:v>
      </x:c>
      <x:c r="I23" s="22" t="str">
        <x:v>Low</x:v>
      </x:c>
      <x:c r="J23" s="22" t="str">
        <x:v>S4/S5</x:v>
      </x:c>
      <x:c r="K23" s="22" t="str">
        <x:v>P1</x:v>
      </x:c>
      <x:c r="L23" s="22" t="str">
        <x:v>Ready</x:v>
      </x:c>
      <x:c r="M23" s="22" t="str">
        <x:v>Initial 60-day backlog / Day 19</x:v>
      </x:c>
      <x:c r="N23" s="22"/>
      <x:c r="O23" s="22"/>
      <x:c r="P23" s="22"/>
      <x:c r="Q23" s="22"/>
      <x:c r="R23" s="22" t="str">
        <x:v>Sources phrase differently</x:v>
      </x:c>
    </x:row>
    <x:row r="24">
      <x:c r="A24" s="22" t="n">
        <x:v>20</x:v>
      </x:c>
      <x:c r="B24" s="22" t="str">
        <x:v>L-REPEAT</x:v>
      </x:c>
      <x:c r="C24" s="22" t="str">
        <x:v>Đang có khoản vay Home Credit có vay thêm được không?</x:v>
      </x:c>
      <x:c r="D24" s="22" t="str">
        <x:v>Cash Loan</x:v>
      </x:c>
      <x:c r="E24" s="22" t="str">
        <x:v>Repeat eligibility</x:v>
      </x:c>
      <x:c r="F24" s="22" t="str">
        <x:v>Conditional article</x:v>
      </x:c>
      <x:c r="G24" s="22" t="str">
        <x:v>Conditional URL</x:v>
      </x:c>
      <x:c r="H24" s="22" t="str">
        <x:v>Pillar L</x:v>
      </x:c>
      <x:c r="I24" s="22" t="str">
        <x:v>Low-Medium</x:v>
      </x:c>
      <x:c r="J24" s="22" t="str">
        <x:v>S4</x:v>
      </x:c>
      <x:c r="K24" s="22" t="str">
        <x:v>P1</x:v>
      </x:c>
      <x:c r="L24" s="22" t="str">
        <x:v>Research</x:v>
      </x:c>
      <x:c r="M24" s="22" t="str">
        <x:v>Initial 60-day backlog / Day 20</x:v>
      </x:c>
      <x:c r="N24" s="22"/>
      <x:c r="O24" s="22"/>
      <x:c r="P24" s="22"/>
      <x:c r="Q24" s="22"/>
      <x:c r="R24" s="22" t="str">
        <x:v>Offer-dependent</x:v>
      </x:c>
    </x:row>
    <x:row r="25">
      <x:c r="A25" s="22" t="n">
        <x:v>21</x:v>
      </x:c>
      <x:c r="B25" s="22" t="str">
        <x:v>L-LATE</x:v>
      </x:c>
      <x:c r="C25" s="22" t="str">
        <x:v>Trễ hạn thanh toán Home Credit phải làm sao?</x:v>
      </x:c>
      <x:c r="D25" s="22" t="str">
        <x:v>Cash Loan</x:v>
      </x:c>
      <x:c r="E25" s="22" t="str">
        <x:v>Troubleshooting</x:v>
      </x:c>
      <x:c r="F25" s="22" t="str">
        <x:v>Section/support</x:v>
      </x:c>
      <x:c r="G25" s="22" t="str">
        <x:v>No new URL by default</x:v>
      </x:c>
      <x:c r="H25" s="22" t="str">
        <x:v>L-PAY</x:v>
      </x:c>
      <x:c r="I25" s="22" t="str">
        <x:v>Low</x:v>
      </x:c>
      <x:c r="J25" s="22" t="str">
        <x:v>Official current guidance</x:v>
      </x:c>
      <x:c r="K25" s="22" t="str">
        <x:v>P1</x:v>
      </x:c>
      <x:c r="L25" s="22" t="str">
        <x:v>Ready</x:v>
      </x:c>
      <x:c r="M25" s="22" t="str">
        <x:v>Initial 60-day backlog / Day 21</x:v>
      </x:c>
      <x:c r="N25" s="22"/>
      <x:c r="O25" s="22"/>
      <x:c r="P25" s="22"/>
      <x:c r="Q25" s="22"/>
      <x:c r="R25" s="22" t="str">
        <x:v>No avoidance advice</x:v>
      </x:c>
    </x:row>
    <x:row r="26">
      <x:c r="A26" s="22" t="n">
        <x:v>22</x:v>
      </x:c>
      <x:c r="B26" s="22" t="str">
        <x:v>L-EARLY</x:v>
      </x:c>
      <x:c r="C26" s="22" t="str">
        <x:v>Tất toán Home Credit trước hạn có phí không?</x:v>
      </x:c>
      <x:c r="D26" s="22" t="str">
        <x:v>Cash Loan</x:v>
      </x:c>
      <x:c r="E26" s="22" t="str">
        <x:v>Cost/servicing</x:v>
      </x:c>
      <x:c r="F26" s="22" t="str">
        <x:v>Conditional article</x:v>
      </x:c>
      <x:c r="G26" s="22" t="str">
        <x:v>Conditional URL</x:v>
      </x:c>
      <x:c r="H26" s="22" t="str">
        <x:v>L-COST</x:v>
      </x:c>
      <x:c r="I26" s="22" t="str">
        <x:v>Low</x:v>
      </x:c>
      <x:c r="J26" s="22" t="str">
        <x:v>Latest contract/fee terms</x:v>
      </x:c>
      <x:c r="K26" s="22" t="str">
        <x:v>P1</x:v>
      </x:c>
      <x:c r="L26" s="22" t="str">
        <x:v>Research</x:v>
      </x:c>
      <x:c r="M26" s="22" t="str">
        <x:v>Initial 60-day backlog / Day 22</x:v>
      </x:c>
      <x:c r="N26" s="22"/>
      <x:c r="O26" s="22"/>
      <x:c r="P26" s="22"/>
      <x:c r="Q26" s="22"/>
      <x:c r="R26" s="22" t="str">
        <x:v>Contract-specific</x:v>
      </x:c>
    </x:row>
    <x:row r="27">
      <x:c r="A27" s="22" t="n">
        <x:v>23</x:v>
      </x:c>
      <x:c r="B27" s="22" t="str">
        <x:v>L-INSURANCE</x:v>
      </x:c>
      <x:c r="C27" s="22" t="str">
        <x:v>Bảo hiểm khoản vay Home Credit có bắt buộc không?</x:v>
      </x:c>
      <x:c r="D27" s="22" t="str">
        <x:v>Cash Loan</x:v>
      </x:c>
      <x:c r="E27" s="22" t="str">
        <x:v>Cost/decision</x:v>
      </x:c>
      <x:c r="F27" s="22" t="str">
        <x:v>Section</x:v>
      </x:c>
      <x:c r="G27" s="22" t="str">
        <x:v>No new URL</x:v>
      </x:c>
      <x:c r="H27" s="22" t="str">
        <x:v>L-COST</x:v>
      </x:c>
      <x:c r="I27" s="22" t="str">
        <x:v>Medium</x:v>
      </x:c>
      <x:c r="J27" s="22" t="str">
        <x:v>S1 + current contract</x:v>
      </x:c>
      <x:c r="K27" s="22" t="str">
        <x:v>P1</x:v>
      </x:c>
      <x:c r="L27" s="22" t="str">
        <x:v>Ready</x:v>
      </x:c>
      <x:c r="M27" s="22" t="str">
        <x:v>Initial 60-day backlog / Day 23</x:v>
      </x:c>
      <x:c r="N27" s="22"/>
      <x:c r="O27" s="22"/>
      <x:c r="P27" s="22"/>
      <x:c r="Q27" s="22"/>
      <x:c r="R27" s="22" t="str">
        <x:v>Source-sensitive</x:v>
      </x:c>
    </x:row>
    <x:row r="28">
      <x:c r="A28" s="22" t="n">
        <x:v>24</x:v>
      </x:c>
      <x:c r="B28" s="22" t="str">
        <x:v>L-SAFETY</x:v>
      </x:c>
      <x:c r="C28" s="22" t="str">
        <x:v>Link/app vay Home Credit nào là chính thức?</x:v>
      </x:c>
      <x:c r="D28" s="22" t="str">
        <x:v>Cash Loan</x:v>
      </x:c>
      <x:c r="E28" s="22" t="str">
        <x:v>Trust</x:v>
      </x:c>
      <x:c r="F28" s="22" t="str">
        <x:v>Section/support</x:v>
      </x:c>
      <x:c r="G28" s="22" t="str">
        <x:v>No new URL by default</x:v>
      </x:c>
      <x:c r="H28" s="22" t="str">
        <x:v>L-PILLAR</x:v>
      </x:c>
      <x:c r="I28" s="22" t="str">
        <x:v>Medium</x:v>
      </x:c>
      <x:c r="J28" s="22" t="str">
        <x:v>S1/S11</x:v>
      </x:c>
      <x:c r="K28" s="22" t="str">
        <x:v>P1</x:v>
      </x:c>
      <x:c r="L28" s="22" t="str">
        <x:v>Ready</x:v>
      </x:c>
      <x:c r="M28" s="22" t="str">
        <x:v>Initial 60-day backlog / Day 24</x:v>
      </x:c>
      <x:c r="N28" s="22"/>
      <x:c r="O28" s="22"/>
      <x:c r="P28" s="22"/>
      <x:c r="Q28" s="22"/>
      <x:c r="R28" s="22" t="str">
        <x:v>Trust layer</x:v>
      </x:c>
    </x:row>
    <x:row r="29">
      <x:c r="A29" s="22" t="n">
        <x:v>25</x:v>
      </x:c>
      <x:c r="B29" s="22" t="str">
        <x:v>L-FAQ</x:v>
      </x:c>
      <x:c r="C29" s="22" t="str">
        <x:v>Mở rộng FAQ vay Home Credit từ query mới</x:v>
      </x:c>
      <x:c r="D29" s="22" t="str">
        <x:v>Cash Loan</x:v>
      </x:c>
      <x:c r="E29" s="22" t="str">
        <x:v>Question expansion</x:v>
      </x:c>
      <x:c r="F29" s="22" t="str">
        <x:v>Update existing</x:v>
      </x:c>
      <x:c r="G29" s="22" t="str">
        <x:v>No new URL</x:v>
      </x:c>
      <x:c r="H29" s="22" t="str">
        <x:v>L-PILLAR</x:v>
      </x:c>
      <x:c r="I29" s="22" t="str">
        <x:v>Medium</x:v>
      </x:c>
      <x:c r="J29" s="22" t="str">
        <x:v>Search Console + S1/S2</x:v>
      </x:c>
      <x:c r="K29" s="22" t="str">
        <x:v>P1</x:v>
      </x:c>
      <x:c r="L29" s="22" t="str">
        <x:v>Ready</x:v>
      </x:c>
      <x:c r="M29" s="22" t="str">
        <x:v>Initial 60-day backlog / Day 25</x:v>
      </x:c>
      <x:c r="N29" s="22"/>
      <x:c r="O29" s="22"/>
      <x:c r="P29" s="22"/>
      <x:c r="Q29" s="22"/>
      <x:c r="R29" s="22" t="str">
        <x:v>No thin pages</x:v>
      </x:c>
    </x:row>
    <x:row r="30">
      <x:c r="A30" s="22" t="n">
        <x:v>26</x:v>
      </x:c>
      <x:c r="B30" s="22" t="str">
        <x:v>C-LIMIT</x:v>
      </x:c>
      <x:c r="C30" s="22" t="str">
        <x:v>Hạn mức thẻ Home Credit bao nhiêu?</x:v>
      </x:c>
      <x:c r="D30" s="22" t="str">
        <x:v>Credit Card</x:v>
      </x:c>
      <x:c r="E30" s="22" t="str">
        <x:v>Limit</x:v>
      </x:c>
      <x:c r="F30" s="22" t="str">
        <x:v>Section</x:v>
      </x:c>
      <x:c r="G30" s="22" t="str">
        <x:v>No new URL</x:v>
      </x:c>
      <x:c r="H30" s="22" t="str">
        <x:v>C-PILLAR</x:v>
      </x:c>
      <x:c r="I30" s="22" t="str">
        <x:v>Medium</x:v>
      </x:c>
      <x:c r="J30" s="22" t="str">
        <x:v>S7</x:v>
      </x:c>
      <x:c r="K30" s="22" t="str">
        <x:v>P1</x:v>
      </x:c>
      <x:c r="L30" s="22" t="str">
        <x:v>Ready</x:v>
      </x:c>
      <x:c r="M30" s="22" t="str">
        <x:v>Initial 60-day backlog / Day 26</x:v>
      </x:c>
      <x:c r="N30" s="22"/>
      <x:c r="O30" s="22"/>
      <x:c r="P30" s="22"/>
      <x:c r="Q30" s="22"/>
      <x:c r="R30" s="22" t="str">
        <x:v>Dynamic</x:v>
      </x:c>
    </x:row>
    <x:row r="31">
      <x:c r="A31" s="22" t="n">
        <x:v>27</x:v>
      </x:c>
      <x:c r="B31" s="22" t="str">
        <x:v>C-INCOME</x:v>
      </x:c>
      <x:c r="C31" s="22" t="str">
        <x:v>Mở thẻ Home Credit có cần chứng minh thu nhập?</x:v>
      </x:c>
      <x:c r="D31" s="22" t="str">
        <x:v>Credit Card</x:v>
      </x:c>
      <x:c r="E31" s="22" t="str">
        <x:v>Eligibility</x:v>
      </x:c>
      <x:c r="F31" s="22" t="str">
        <x:v>FAQ</x:v>
      </x:c>
      <x:c r="G31" s="22" t="str">
        <x:v>No new URL</x:v>
      </x:c>
      <x:c r="H31" s="22" t="str">
        <x:v>C-NEED</x:v>
      </x:c>
      <x:c r="I31" s="22" t="str">
        <x:v>Medium</x:v>
      </x:c>
      <x:c r="J31" s="22" t="str">
        <x:v>S6</x:v>
      </x:c>
      <x:c r="K31" s="22" t="str">
        <x:v>P1</x:v>
      </x:c>
      <x:c r="L31" s="22" t="str">
        <x:v>Ready</x:v>
      </x:c>
      <x:c r="M31" s="22" t="str">
        <x:v>Initial 60-day backlog / Day 27</x:v>
      </x:c>
      <x:c r="N31" s="22"/>
      <x:c r="O31" s="22"/>
      <x:c r="P31" s="22"/>
      <x:c r="Q31" s="22"/>
      <x:c r="R31" s="22" t="str">
        <x:v>Current product claim</x:v>
      </x:c>
    </x:row>
    <x:row r="32">
      <x:c r="A32" s="22" t="n">
        <x:v>28</x:v>
      </x:c>
      <x:c r="B32" s="22" t="str">
        <x:v>C-DUE</x:v>
      </x:c>
      <x:c r="C32" s="22" t="str">
        <x:v>Thẻ Home Credit thanh toán ngày nào?</x:v>
      </x:c>
      <x:c r="D32" s="22" t="str">
        <x:v>Credit Card</x:v>
      </x:c>
      <x:c r="E32" s="22" t="str">
        <x:v>Billing</x:v>
      </x:c>
      <x:c r="F32" s="22" t="str">
        <x:v>Section/FAQ</x:v>
      </x:c>
      <x:c r="G32" s="22" t="str">
        <x:v>No new URL</x:v>
      </x:c>
      <x:c r="H32" s="22" t="str">
        <x:v>C-STATEMENT</x:v>
      </x:c>
      <x:c r="I32" s="22" t="str">
        <x:v>Low</x:v>
      </x:c>
      <x:c r="J32" s="22" t="str">
        <x:v>S7</x:v>
      </x:c>
      <x:c r="K32" s="22" t="str">
        <x:v>P1</x:v>
      </x:c>
      <x:c r="L32" s="22" t="str">
        <x:v>Ready</x:v>
      </x:c>
      <x:c r="M32" s="22" t="str">
        <x:v>Initial 60-day backlog / Day 28</x:v>
      </x:c>
      <x:c r="N32" s="22"/>
      <x:c r="O32" s="22"/>
      <x:c r="P32" s="22"/>
      <x:c r="Q32" s="22"/>
      <x:c r="R32" s="22" t="str">
        <x:v>Servicing</x:v>
      </x:c>
    </x:row>
    <x:row r="33">
      <x:c r="A33" s="22" t="n">
        <x:v>29</x:v>
      </x:c>
      <x:c r="B33" s="22" t="str">
        <x:v>C-MIN</x:v>
      </x:c>
      <x:c r="C33" s="22" t="str">
        <x:v>Thanh toán tối thiểu thẻ Home Credit là bao nhiêu?</x:v>
      </x:c>
      <x:c r="D33" s="22" t="str">
        <x:v>Credit Card</x:v>
      </x:c>
      <x:c r="E33" s="22" t="str">
        <x:v>Billing/cost</x:v>
      </x:c>
      <x:c r="F33" s="22" t="str">
        <x:v>Section/article review</x:v>
      </x:c>
      <x:c r="G33" s="22" t="str">
        <x:v>No new URL by default</x:v>
      </x:c>
      <x:c r="H33" s="22" t="str">
        <x:v>C-STATEMENT</x:v>
      </x:c>
      <x:c r="I33" s="22" t="str">
        <x:v>Low</x:v>
      </x:c>
      <x:c r="J33" s="22" t="str">
        <x:v>S7/S8</x:v>
      </x:c>
      <x:c r="K33" s="22" t="str">
        <x:v>P0</x:v>
      </x:c>
      <x:c r="L33" s="22" t="str">
        <x:v>Research</x:v>
      </x:c>
      <x:c r="M33" s="22" t="str">
        <x:v>Initial 60-day backlog / Day 29</x:v>
      </x:c>
      <x:c r="N33" s="22"/>
      <x:c r="O33" s="22"/>
      <x:c r="P33" s="22"/>
      <x:c r="Q33" s="22"/>
      <x:c r="R33" s="22" t="str">
        <x:v>High cost relevance</x:v>
      </x:c>
    </x:row>
    <x:row r="34">
      <x:c r="A34" s="22" t="n">
        <x:v>30</x:v>
      </x:c>
      <x:c r="B34" s="22" t="str">
        <x:v>C-STATEMENT2</x:v>
      </x:c>
      <x:c r="C34" s="22" t="str">
        <x:v>Cách xem sao kê và dư nợ thẻ Home Credit</x:v>
      </x:c>
      <x:c r="D34" s="22" t="str">
        <x:v>Credit Card</x:v>
      </x:c>
      <x:c r="E34" s="22" t="str">
        <x:v>Servicing</x:v>
      </x:c>
      <x:c r="F34" s="22" t="str">
        <x:v>Section/article review</x:v>
      </x:c>
      <x:c r="G34" s="22" t="str">
        <x:v>No new URL by default</x:v>
      </x:c>
      <x:c r="H34" s="22" t="str">
        <x:v>C-STATEMENT</x:v>
      </x:c>
      <x:c r="I34" s="22" t="str">
        <x:v>Low</x:v>
      </x:c>
      <x:c r="J34" s="22" t="str">
        <x:v>S7 + current blog</x:v>
      </x:c>
      <x:c r="K34" s="22" t="str">
        <x:v>P1</x:v>
      </x:c>
      <x:c r="L34" s="22" t="str">
        <x:v>Research</x:v>
      </x:c>
      <x:c r="M34" s="22" t="str">
        <x:v>Initial 60-day backlog / Day 30</x:v>
      </x:c>
      <x:c r="N34" s="22"/>
      <x:c r="O34" s="22"/>
      <x:c r="P34" s="22"/>
      <x:c r="Q34" s="22"/>
      <x:c r="R34" s="22" t="str">
        <x:v>App UI may change</x:v>
      </x:c>
    </x:row>
    <x:row r="35">
      <x:c r="A35" s="22" t="n">
        <x:v>31</x:v>
      </x:c>
      <x:c r="B35" s="22" t="str">
        <x:v>C-LIMIT-UP</x:v>
      </x:c>
      <x:c r="C35" s="22" t="str">
        <x:v>Có thể tăng hạn mức thẻ Home Credit không?</x:v>
      </x:c>
      <x:c r="D35" s="22" t="str">
        <x:v>Credit Card</x:v>
      </x:c>
      <x:c r="E35" s="22" t="str">
        <x:v>Limit management</x:v>
      </x:c>
      <x:c r="F35" s="22" t="str">
        <x:v>FAQ</x:v>
      </x:c>
      <x:c r="G35" s="22" t="str">
        <x:v>No new URL</x:v>
      </x:c>
      <x:c r="H35" s="22" t="str">
        <x:v>C-PILLAR</x:v>
      </x:c>
      <x:c r="I35" s="22" t="str">
        <x:v>Low</x:v>
      </x:c>
      <x:c r="J35" s="22" t="str">
        <x:v>S7</x:v>
      </x:c>
      <x:c r="K35" s="22" t="str">
        <x:v>P1</x:v>
      </x:c>
      <x:c r="L35" s="22" t="str">
        <x:v>Ready</x:v>
      </x:c>
      <x:c r="M35" s="22" t="str">
        <x:v>Initial 60-day backlog / Day 31</x:v>
      </x:c>
      <x:c r="N35" s="22"/>
      <x:c r="O35" s="22"/>
      <x:c r="P35" s="22"/>
      <x:c r="Q35" s="22"/>
      <x:c r="R35" s="22" t="str">
        <x:v>No guarantee</x:v>
      </x:c>
    </x:row>
    <x:row r="36">
      <x:c r="A36" s="22" t="n">
        <x:v>32</x:v>
      </x:c>
      <x:c r="B36" s="22" t="str">
        <x:v>C-LATE</x:v>
      </x:c>
      <x:c r="C36" s="22" t="str">
        <x:v>Thanh toán trễ thẻ Home Credit có sao không?</x:v>
      </x:c>
      <x:c r="D36" s="22" t="str">
        <x:v>Credit Card</x:v>
      </x:c>
      <x:c r="E36" s="22" t="str">
        <x:v>Late payment</x:v>
      </x:c>
      <x:c r="F36" s="22" t="str">
        <x:v>Section/support</x:v>
      </x:c>
      <x:c r="G36" s="22" t="str">
        <x:v>No new URL by default</x:v>
      </x:c>
      <x:c r="H36" s="22" t="str">
        <x:v>C-STATEMENT</x:v>
      </x:c>
      <x:c r="I36" s="22" t="str">
        <x:v>Low</x:v>
      </x:c>
      <x:c r="J36" s="22" t="str">
        <x:v>S7/S8</x:v>
      </x:c>
      <x:c r="K36" s="22" t="str">
        <x:v>P1</x:v>
      </x:c>
      <x:c r="L36" s="22" t="str">
        <x:v>Ready</x:v>
      </x:c>
      <x:c r="M36" s="22" t="str">
        <x:v>Initial 60-day backlog / Day 32</x:v>
      </x:c>
      <x:c r="N36" s="22"/>
      <x:c r="O36" s="22"/>
      <x:c r="P36" s="22"/>
      <x:c r="Q36" s="22"/>
      <x:c r="R36" s="22" t="str">
        <x:v>YMYL</x:v>
      </x:c>
    </x:row>
    <x:row r="37">
      <x:c r="A37" s="22" t="n">
        <x:v>33</x:v>
      </x:c>
      <x:c r="B37" s="22" t="str">
        <x:v>C-TYPES</x:v>
      </x:c>
      <x:c r="C37" s="22" t="str">
        <x:v>Thẻ tín dụng trực tuyến và thẻ Home Credit khác nhau?</x:v>
      </x:c>
      <x:c r="D37" s="22" t="str">
        <x:v>Credit Card</x:v>
      </x:c>
      <x:c r="E37" s="22" t="str">
        <x:v>Product clarification</x:v>
      </x:c>
      <x:c r="F37" s="22" t="str">
        <x:v>Section/article review</x:v>
      </x:c>
      <x:c r="G37" s="22" t="str">
        <x:v>Conditional URL</x:v>
      </x:c>
      <x:c r="H37" s="22" t="str">
        <x:v>C-PILLAR</x:v>
      </x:c>
      <x:c r="I37" s="22" t="str">
        <x:v>Low</x:v>
      </x:c>
      <x:c r="J37" s="22" t="str">
        <x:v>S8</x:v>
      </x:c>
      <x:c r="K37" s="22" t="str">
        <x:v>P1</x:v>
      </x:c>
      <x:c r="L37" s="22" t="str">
        <x:v>Research</x:v>
      </x:c>
      <x:c r="M37" s="22" t="str">
        <x:v>Initial 60-day backlog / Day 33</x:v>
      </x:c>
      <x:c r="N37" s="22"/>
      <x:c r="O37" s="22"/>
      <x:c r="P37" s="22"/>
      <x:c r="Q37" s="22"/>
      <x:c r="R37" s="22" t="str">
        <x:v>High volatility</x:v>
      </x:c>
    </x:row>
    <x:row r="38">
      <x:c r="A38" s="22" t="n">
        <x:v>34</x:v>
      </x:c>
      <x:c r="B38" s="22" t="str">
        <x:v>C-SAFETY</x:v>
      </x:c>
      <x:c r="C38" s="22" t="str">
        <x:v>Link mở thẻ Home Credit có an toàn không?</x:v>
      </x:c>
      <x:c r="D38" s="22" t="str">
        <x:v>Credit Card</x:v>
      </x:c>
      <x:c r="E38" s="22" t="str">
        <x:v>Trust</x:v>
      </x:c>
      <x:c r="F38" s="22" t="str">
        <x:v>Section/support</x:v>
      </x:c>
      <x:c r="G38" s="22" t="str">
        <x:v>No new URL by default</x:v>
      </x:c>
      <x:c r="H38" s="22" t="str">
        <x:v>C-PILLAR</x:v>
      </x:c>
      <x:c r="I38" s="22" t="str">
        <x:v>Medium</x:v>
      </x:c>
      <x:c r="J38" s="22" t="str">
        <x:v>S6/S11</x:v>
      </x:c>
      <x:c r="K38" s="22" t="str">
        <x:v>P1</x:v>
      </x:c>
      <x:c r="L38" s="22" t="str">
        <x:v>Ready</x:v>
      </x:c>
      <x:c r="M38" s="22" t="str">
        <x:v>Initial 60-day backlog / Day 34</x:v>
      </x:c>
      <x:c r="N38" s="22"/>
      <x:c r="O38" s="22"/>
      <x:c r="P38" s="22"/>
      <x:c r="Q38" s="22"/>
      <x:c r="R38" s="22" t="str">
        <x:v>Trust conversion</x:v>
      </x:c>
    </x:row>
    <x:row r="39">
      <x:c r="A39" s="22" t="n">
        <x:v>35</x:v>
      </x:c>
      <x:c r="B39" s="22" t="str">
        <x:v>C-FAQ</x:v>
      </x:c>
      <x:c r="C39" s="22" t="str">
        <x:v>Mở rộng FAQ thẻ Home Credit từ query mới</x:v>
      </x:c>
      <x:c r="D39" s="22" t="str">
        <x:v>Credit Card</x:v>
      </x:c>
      <x:c r="E39" s="22" t="str">
        <x:v>Question expansion</x:v>
      </x:c>
      <x:c r="F39" s="22" t="str">
        <x:v>Update existing</x:v>
      </x:c>
      <x:c r="G39" s="22" t="str">
        <x:v>No new URL</x:v>
      </x:c>
      <x:c r="H39" s="22" t="str">
        <x:v>C-PILLAR</x:v>
      </x:c>
      <x:c r="I39" s="22" t="str">
        <x:v>Medium</x:v>
      </x:c>
      <x:c r="J39" s="22" t="str">
        <x:v>Search Console + S7/S8</x:v>
      </x:c>
      <x:c r="K39" s="22" t="str">
        <x:v>P1</x:v>
      </x:c>
      <x:c r="L39" s="22" t="str">
        <x:v>Ready</x:v>
      </x:c>
      <x:c r="M39" s="22" t="str">
        <x:v>Initial 60-day backlog / Day 35</x:v>
      </x:c>
      <x:c r="N39" s="22"/>
      <x:c r="O39" s="22"/>
      <x:c r="P39" s="22"/>
      <x:c r="Q39" s="22"/>
      <x:c r="R39" s="22" t="str">
        <x:v>No thin pages</x:v>
      </x:c>
    </x:row>
    <x:row r="40">
      <x:c r="A40" s="22" t="n">
        <x:v>36</x:v>
      </x:c>
      <x:c r="B40" s="22" t="str">
        <x:v>L-SOURCE</x:v>
      </x:c>
      <x:c r="C40" s="22" t="str">
        <x:v>Rà nguồn và con số Pillar L</x:v>
      </x:c>
      <x:c r="D40" s="22" t="str">
        <x:v>Cash Loan</x:v>
      </x:c>
      <x:c r="E40" s="22" t="str">
        <x:v>Trust/freshness</x:v>
      </x:c>
      <x:c r="F40" s="22" t="str">
        <x:v>Update existing</x:v>
      </x:c>
      <x:c r="G40" s="22" t="str">
        <x:v>No new URL</x:v>
      </x:c>
      <x:c r="H40" s="22" t="str">
        <x:v>Pillar L</x:v>
      </x:c>
      <x:c r="I40" s="22" t="str">
        <x:v>High</x:v>
      </x:c>
      <x:c r="J40" s="22" t="str">
        <x:v>S1/S2/S3</x:v>
      </x:c>
      <x:c r="K40" s="22" t="str">
        <x:v>P0</x:v>
      </x:c>
      <x:c r="L40" s="22" t="str">
        <x:v>Ready</x:v>
      </x:c>
      <x:c r="M40" s="22" t="str">
        <x:v>Initial 60-day backlog / Day 36</x:v>
      </x:c>
      <x:c r="N40" s="22"/>
      <x:c r="O40" s="22"/>
      <x:c r="P40" s="22"/>
      <x:c r="Q40" s="22"/>
      <x:c r="R40" s="22" t="str">
        <x:v>No fake freshness</x:v>
      </x:c>
    </x:row>
    <x:row r="41">
      <x:c r="A41" s="22" t="n">
        <x:v>37</x:v>
      </x:c>
      <x:c r="B41" s="22" t="str">
        <x:v>C-SOURCE</x:v>
      </x:c>
      <x:c r="C41" s="22" t="str">
        <x:v>Rà biểu phí mới nhất Pillar C</x:v>
      </x:c>
      <x:c r="D41" s="22" t="str">
        <x:v>Credit Card</x:v>
      </x:c>
      <x:c r="E41" s="22" t="str">
        <x:v>Trust/freshness</x:v>
      </x:c>
      <x:c r="F41" s="22" t="str">
        <x:v>Update existing</x:v>
      </x:c>
      <x:c r="G41" s="22" t="str">
        <x:v>No new URL</x:v>
      </x:c>
      <x:c r="H41" s="22" t="str">
        <x:v>Pillar C</x:v>
      </x:c>
      <x:c r="I41" s="22" t="str">
        <x:v>High</x:v>
      </x:c>
      <x:c r="J41" s="22" t="str">
        <x:v>S8</x:v>
      </x:c>
      <x:c r="K41" s="22" t="str">
        <x:v>P0</x:v>
      </x:c>
      <x:c r="L41" s="22" t="str">
        <x:v>Ready</x:v>
      </x:c>
      <x:c r="M41" s="22" t="str">
        <x:v>Initial 60-day backlog / Day 37</x:v>
      </x:c>
      <x:c r="N41" s="22"/>
      <x:c r="O41" s="22"/>
      <x:c r="P41" s="22"/>
      <x:c r="Q41" s="22"/>
      <x:c r="R41" s="22" t="str">
        <x:v>Very high volatility</x:v>
      </x:c>
    </x:row>
    <x:row r="42">
      <x:c r="A42" s="22" t="n">
        <x:v>38</x:v>
      </x:c>
      <x:c r="B42" s="22" t="str">
        <x:v>LINK-L</x:v>
      </x:c>
      <x:c r="C42" s="22" t="str">
        <x:v>Tối ưu internal links loan cluster</x:v>
      </x:c>
      <x:c r="D42" s="22" t="str">
        <x:v>Cash Loan</x:v>
      </x:c>
      <x:c r="E42" s="22" t="str">
        <x:v>Internal linking</x:v>
      </x:c>
      <x:c r="F42" s="22" t="str">
        <x:v>Update existing</x:v>
      </x:c>
      <x:c r="G42" s="22" t="str">
        <x:v>No new URL</x:v>
      </x:c>
      <x:c r="H42" s="22" t="str">
        <x:v>Loan cluster</x:v>
      </x:c>
      <x:c r="I42" s="22" t="str">
        <x:v>Medium</x:v>
      </x:c>
      <x:c r="J42" s="22" t="str">
        <x:v>Current graph</x:v>
      </x:c>
      <x:c r="K42" s="22" t="str">
        <x:v>P1</x:v>
      </x:c>
      <x:c r="L42" s="22" t="str">
        <x:v>Ready</x:v>
      </x:c>
      <x:c r="M42" s="22" t="str">
        <x:v>Initial 60-day backlog / Day 38</x:v>
      </x:c>
      <x:c r="N42" s="22"/>
      <x:c r="O42" s="22"/>
      <x:c r="P42" s="22"/>
      <x:c r="Q42" s="22"/>
      <x:c r="R42" s="22" t="str">
        <x:v>No overlinking</x:v>
      </x:c>
    </x:row>
    <x:row r="43">
      <x:c r="A43" s="22" t="n">
        <x:v>39</x:v>
      </x:c>
      <x:c r="B43" s="22" t="str">
        <x:v>LINK-C</x:v>
      </x:c>
      <x:c r="C43" s="22" t="str">
        <x:v>Tối ưu internal links card cluster</x:v>
      </x:c>
      <x:c r="D43" s="22" t="str">
        <x:v>Credit Card</x:v>
      </x:c>
      <x:c r="E43" s="22" t="str">
        <x:v>Internal linking</x:v>
      </x:c>
      <x:c r="F43" s="22" t="str">
        <x:v>Update existing</x:v>
      </x:c>
      <x:c r="G43" s="22" t="str">
        <x:v>No new URL</x:v>
      </x:c>
      <x:c r="H43" s="22" t="str">
        <x:v>Card cluster</x:v>
      </x:c>
      <x:c r="I43" s="22" t="str">
        <x:v>Medium</x:v>
      </x:c>
      <x:c r="J43" s="22" t="str">
        <x:v>Current graph</x:v>
      </x:c>
      <x:c r="K43" s="22" t="str">
        <x:v>P1</x:v>
      </x:c>
      <x:c r="L43" s="22" t="str">
        <x:v>Ready</x:v>
      </x:c>
      <x:c r="M43" s="22" t="str">
        <x:v>Initial 60-day backlog / Day 39</x:v>
      </x:c>
      <x:c r="N43" s="22"/>
      <x:c r="O43" s="22"/>
      <x:c r="P43" s="22"/>
      <x:c r="Q43" s="22"/>
      <x:c r="R43" s="22" t="str">
        <x:v>No overlinking</x:v>
      </x:c>
    </x:row>
    <x:row r="44">
      <x:c r="A44" s="22" t="n">
        <x:v>40</x:v>
      </x:c>
      <x:c r="B44" s="22" t="str">
        <x:v>LINK-BRIDGE</x:v>
      </x:c>
      <x:c r="C44" s="22" t="str">
        <x:v>Tối ưu Loan ↔ Card bridge links</x:v>
      </x:c>
      <x:c r="D44" s="22" t="str">
        <x:v>Bridge</x:v>
      </x:c>
      <x:c r="E44" s="22" t="str">
        <x:v>Internal linking</x:v>
      </x:c>
      <x:c r="F44" s="22" t="str">
        <x:v>Update existing</x:v>
      </x:c>
      <x:c r="G44" s="22" t="str">
        <x:v>No new URL</x:v>
      </x:c>
      <x:c r="H44" s="22" t="str">
        <x:v>L/C/Bridge</x:v>
      </x:c>
      <x:c r="I44" s="22" t="str">
        <x:v>Medium</x:v>
      </x:c>
      <x:c r="J44" s="22" t="str">
        <x:v>Current graph</x:v>
      </x:c>
      <x:c r="K44" s="22" t="str">
        <x:v>P1</x:v>
      </x:c>
      <x:c r="L44" s="22" t="str">
        <x:v>Ready</x:v>
      </x:c>
      <x:c r="M44" s="22" t="str">
        <x:v>Initial 60-day backlog / Day 40</x:v>
      </x:c>
      <x:c r="N44" s="22"/>
      <x:c r="O44" s="22"/>
      <x:c r="P44" s="22"/>
      <x:c r="Q44" s="22"/>
      <x:c r="R44" s="22" t="str">
        <x:v>Entity clarity</x:v>
      </x:c>
    </x:row>
    <x:row r="45">
      <x:c r="A45" s="22" t="n">
        <x:v>41</x:v>
      </x:c>
      <x:c r="B45" s="22" t="str">
        <x:v>CTA-L</x:v>
      </x:c>
      <x:c r="C45" s="22" t="str">
        <x:v>Review affiliate CTA trên loan pages</x:v>
      </x:c>
      <x:c r="D45" s="22" t="str">
        <x:v>Cash Loan</x:v>
      </x:c>
      <x:c r="E45" s="22" t="str">
        <x:v>Conversion</x:v>
      </x:c>
      <x:c r="F45" s="22" t="str">
        <x:v>Update existing</x:v>
      </x:c>
      <x:c r="G45" s="22" t="str">
        <x:v>No new URL</x:v>
      </x:c>
      <x:c r="H45" s="22" t="str">
        <x:v>Loan cluster</x:v>
      </x:c>
      <x:c r="I45" s="22" t="str">
        <x:v>High</x:v>
      </x:c>
      <x:c r="J45" s="22" t="str">
        <x:v>CTA Matrix + analytics</x:v>
      </x:c>
      <x:c r="K45" s="22" t="str">
        <x:v>P0</x:v>
      </x:c>
      <x:c r="L45" s="22" t="str">
        <x:v>Ready</x:v>
      </x:c>
      <x:c r="M45" s="22" t="str">
        <x:v>Initial 60-day backlog / Day 41</x:v>
      </x:c>
      <x:c r="N45" s="22"/>
      <x:c r="O45" s="22"/>
      <x:c r="P45" s="22"/>
      <x:c r="Q45" s="22"/>
      <x:c r="R45" s="22" t="str">
        <x:v>No dark patterns</x:v>
      </x:c>
    </x:row>
    <x:row r="46">
      <x:c r="A46" s="22" t="n">
        <x:v>42</x:v>
      </x:c>
      <x:c r="B46" s="22" t="str">
        <x:v>CTA-C</x:v>
      </x:c>
      <x:c r="C46" s="22" t="str">
        <x:v>Review affiliate CTA trên card pages</x:v>
      </x:c>
      <x:c r="D46" s="22" t="str">
        <x:v>Credit Card</x:v>
      </x:c>
      <x:c r="E46" s="22" t="str">
        <x:v>Conversion</x:v>
      </x:c>
      <x:c r="F46" s="22" t="str">
        <x:v>Update existing</x:v>
      </x:c>
      <x:c r="G46" s="22" t="str">
        <x:v>No new URL</x:v>
      </x:c>
      <x:c r="H46" s="22" t="str">
        <x:v>Card cluster</x:v>
      </x:c>
      <x:c r="I46" s="22" t="str">
        <x:v>High</x:v>
      </x:c>
      <x:c r="J46" s="22" t="str">
        <x:v>CTA Matrix + analytics</x:v>
      </x:c>
      <x:c r="K46" s="22" t="str">
        <x:v>P0</x:v>
      </x:c>
      <x:c r="L46" s="22" t="str">
        <x:v>Ready</x:v>
      </x:c>
      <x:c r="M46" s="22" t="str">
        <x:v>Initial 60-day backlog / Day 42</x:v>
      </x:c>
      <x:c r="N46" s="22"/>
      <x:c r="O46" s="22"/>
      <x:c r="P46" s="22"/>
      <x:c r="Q46" s="22"/>
      <x:c r="R46" s="22" t="str">
        <x:v>No old promos</x:v>
      </x:c>
    </x:row>
    <x:row r="47">
      <x:c r="A47" s="22" t="n">
        <x:v>43</x:v>
      </x:c>
      <x:c r="B47" s="22" t="str">
        <x:v>TRACKING</x:v>
      </x:c>
      <x:c r="C47" s="22" t="str">
        <x:v>Rà event tracking Home Credit</x:v>
      </x:c>
      <x:c r="D47" s="22" t="str">
        <x:v>All</x:v>
      </x:c>
      <x:c r="E47" s="22" t="str">
        <x:v>Measurement</x:v>
      </x:c>
      <x:c r="F47" s="22" t="str">
        <x:v>Update implementation</x:v>
      </x:c>
      <x:c r="G47" s="22" t="str">
        <x:v>No new URL</x:v>
      </x:c>
      <x:c r="H47" s="22" t="str">
        <x:v>All</x:v>
      </x:c>
      <x:c r="I47" s="22" t="str">
        <x:v>N/A</x:v>
      </x:c>
      <x:c r="J47" s="22" t="str">
        <x:v>Existing analytics</x:v>
      </x:c>
      <x:c r="K47" s="22" t="str">
        <x:v>P1</x:v>
      </x:c>
      <x:c r="L47" s="22" t="str">
        <x:v>Ready</x:v>
      </x:c>
      <x:c r="M47" s="22" t="str">
        <x:v>Initial 60-day backlog / Day 43</x:v>
      </x:c>
      <x:c r="N47" s="22"/>
      <x:c r="O47" s="22"/>
      <x:c r="P47" s="22"/>
      <x:c r="Q47" s="22"/>
      <x:c r="R47" s="22" t="str">
        <x:v>Reuse current analytics</x:v>
      </x:c>
    </x:row>
    <x:row r="48">
      <x:c r="A48" s="22" t="n">
        <x:v>44</x:v>
      </x:c>
      <x:c r="B48" s="22" t="str">
        <x:v>SCHEMA</x:v>
      </x:c>
      <x:c r="C48" s="22" t="str">
        <x:v>Rà metadata/schema Home Credit cluster</x:v>
      </x:c>
      <x:c r="D48" s="22" t="str">
        <x:v>All</x:v>
      </x:c>
      <x:c r="E48" s="22" t="str">
        <x:v>Technical SEO</x:v>
      </x:c>
      <x:c r="F48" s="22" t="str">
        <x:v>Update existing</x:v>
      </x:c>
      <x:c r="G48" s="22" t="str">
        <x:v>No new URL</x:v>
      </x:c>
      <x:c r="H48" s="22" t="str">
        <x:v>All</x:v>
      </x:c>
      <x:c r="I48" s="22" t="str">
        <x:v>N/A</x:v>
      </x:c>
      <x:c r="J48" s="22" t="str">
        <x:v>Existing project patterns</x:v>
      </x:c>
      <x:c r="K48" s="22" t="str">
        <x:v>P1</x:v>
      </x:c>
      <x:c r="L48" s="22" t="str">
        <x:v>Ready</x:v>
      </x:c>
      <x:c r="M48" s="22" t="str">
        <x:v>Initial 60-day backlog / Day 44</x:v>
      </x:c>
      <x:c r="N48" s="22"/>
      <x:c r="O48" s="22"/>
      <x:c r="P48" s="22"/>
      <x:c r="Q48" s="22"/>
      <x:c r="R48" s="22" t="str">
        <x:v>No invented schema</x:v>
      </x:c>
    </x:row>
    <x:row r="49">
      <x:c r="A49" s="22" t="n">
        <x:v>45</x:v>
      </x:c>
      <x:c r="B49" s="22" t="str">
        <x:v>MOBILE</x:v>
      </x:c>
      <x:c r="C49" s="22" t="str">
        <x:v>Rà mobile UI các bảng phí/lãi</x:v>
      </x:c>
      <x:c r="D49" s="22" t="str">
        <x:v>All</x:v>
      </x:c>
      <x:c r="E49" s="22" t="str">
        <x:v>UX</x:v>
      </x:c>
      <x:c r="F49" s="22" t="str">
        <x:v>Update existing</x:v>
      </x:c>
      <x:c r="G49" s="22" t="str">
        <x:v>No new URL</x:v>
      </x:c>
      <x:c r="H49" s="22" t="str">
        <x:v>All</x:v>
      </x:c>
      <x:c r="I49" s="22" t="str">
        <x:v>N/A</x:v>
      </x:c>
      <x:c r="J49" s="22" t="str">
        <x:v>Current UI</x:v>
      </x:c>
      <x:c r="K49" s="22" t="str">
        <x:v>P1</x:v>
      </x:c>
      <x:c r="L49" s="22" t="str">
        <x:v>Ready</x:v>
      </x:c>
      <x:c r="M49" s="22" t="str">
        <x:v>Initial 60-day backlog / Day 45</x:v>
      </x:c>
      <x:c r="N49" s="22"/>
      <x:c r="O49" s="22"/>
      <x:c r="P49" s="22"/>
      <x:c r="Q49" s="22"/>
      <x:c r="R49" s="22" t="str">
        <x:v>Preserve UI</x:v>
      </x:c>
    </x:row>
    <x:row r="50">
      <x:c r="A50" s="22" t="n">
        <x:v>46</x:v>
      </x:c>
      <x:c r="B50" s="22" t="str">
        <x:v>QUERY-L</x:v>
      </x:c>
      <x:c r="C50" s="22" t="str">
        <x:v>Phân tích query loan mới</x:v>
      </x:c>
      <x:c r="D50" s="22" t="str">
        <x:v>Cash Loan</x:v>
      </x:c>
      <x:c r="E50" s="22" t="str">
        <x:v>Measurement</x:v>
      </x:c>
      <x:c r="F50" s="22" t="str">
        <x:v>Research/update</x:v>
      </x:c>
      <x:c r="G50" s="22" t="str">
        <x:v>No new URL</x:v>
      </x:c>
      <x:c r="H50" s="22" t="str">
        <x:v>Loan cluster</x:v>
      </x:c>
      <x:c r="I50" s="22" t="str">
        <x:v>N/A</x:v>
      </x:c>
      <x:c r="J50" s="22" t="str">
        <x:v>Search Console</x:v>
      </x:c>
      <x:c r="K50" s="22" t="str">
        <x:v>P1</x:v>
      </x:c>
      <x:c r="L50" s="22" t="str">
        <x:v>Research</x:v>
      </x:c>
      <x:c r="M50" s="22" t="str">
        <x:v>Initial 60-day backlog / Day 46</x:v>
      </x:c>
      <x:c r="N50" s="22"/>
      <x:c r="O50" s="22"/>
      <x:c r="P50" s="22"/>
      <x:c r="Q50" s="22"/>
      <x:c r="R50" s="22" t="str">
        <x:v>Evidence-based expansion</x:v>
      </x:c>
    </x:row>
    <x:row r="51">
      <x:c r="A51" s="22" t="n">
        <x:v>47</x:v>
      </x:c>
      <x:c r="B51" s="22" t="str">
        <x:v>QUERY-C</x:v>
      </x:c>
      <x:c r="C51" s="22" t="str">
        <x:v>Phân tích query card mới</x:v>
      </x:c>
      <x:c r="D51" s="22" t="str">
        <x:v>Credit Card</x:v>
      </x:c>
      <x:c r="E51" s="22" t="str">
        <x:v>Measurement</x:v>
      </x:c>
      <x:c r="F51" s="22" t="str">
        <x:v>Research/update</x:v>
      </x:c>
      <x:c r="G51" s="22" t="str">
        <x:v>No new URL</x:v>
      </x:c>
      <x:c r="H51" s="22" t="str">
        <x:v>Card cluster</x:v>
      </x:c>
      <x:c r="I51" s="22" t="str">
        <x:v>N/A</x:v>
      </x:c>
      <x:c r="J51" s="22" t="str">
        <x:v>Search Console</x:v>
      </x:c>
      <x:c r="K51" s="22" t="str">
        <x:v>P1</x:v>
      </x:c>
      <x:c r="L51" s="22" t="str">
        <x:v>Research</x:v>
      </x:c>
      <x:c r="M51" s="22" t="str">
        <x:v>Initial 60-day backlog / Day 47</x:v>
      </x:c>
      <x:c r="N51" s="22"/>
      <x:c r="O51" s="22"/>
      <x:c r="P51" s="22"/>
      <x:c r="Q51" s="22"/>
      <x:c r="R51" s="22" t="str">
        <x:v>Evidence-based expansion</x:v>
      </x:c>
    </x:row>
    <x:row r="52">
      <x:c r="A52" s="22" t="n">
        <x:v>48</x:v>
      </x:c>
      <x:c r="B52" s="22" t="str">
        <x:v>MERGE-L</x:v>
      </x:c>
      <x:c r="C52" s="22" t="str">
        <x:v>Đánh giá bài loan support có overlap</x:v>
      </x:c>
      <x:c r="D52" s="22" t="str">
        <x:v>Cash Loan</x:v>
      </x:c>
      <x:c r="E52" s="22" t="str">
        <x:v>Quality</x:v>
      </x:c>
      <x:c r="F52" s="22" t="str">
        <x:v>Editorial review</x:v>
      </x:c>
      <x:c r="G52" s="22" t="str">
        <x:v>No new URL</x:v>
      </x:c>
      <x:c r="H52" s="22" t="str">
        <x:v>Loan cluster</x:v>
      </x:c>
      <x:c r="I52" s="22" t="str">
        <x:v>N/A</x:v>
      </x:c>
      <x:c r="J52" s="22" t="str">
        <x:v>SERP/query data</x:v>
      </x:c>
      <x:c r="K52" s="22" t="str">
        <x:v>P1</x:v>
      </x:c>
      <x:c r="L52" s="22" t="str">
        <x:v>Research</x:v>
      </x:c>
      <x:c r="M52" s="22" t="str">
        <x:v>Initial 60-day backlog / Day 48</x:v>
      </x:c>
      <x:c r="N52" s="22"/>
      <x:c r="O52" s="22"/>
      <x:c r="P52" s="22"/>
      <x:c r="Q52" s="22"/>
      <x:c r="R52" s="22" t="str">
        <x:v>Avoid content sprawl</x:v>
      </x:c>
    </x:row>
    <x:row r="53">
      <x:c r="A53" s="22" t="n">
        <x:v>49</x:v>
      </x:c>
      <x:c r="B53" s="22" t="str">
        <x:v>MERGE-C</x:v>
      </x:c>
      <x:c r="C53" s="22" t="str">
        <x:v>Đánh giá bài card support có overlap</x:v>
      </x:c>
      <x:c r="D53" s="22" t="str">
        <x:v>Credit Card</x:v>
      </x:c>
      <x:c r="E53" s="22" t="str">
        <x:v>Quality</x:v>
      </x:c>
      <x:c r="F53" s="22" t="str">
        <x:v>Editorial review</x:v>
      </x:c>
      <x:c r="G53" s="22" t="str">
        <x:v>No new URL</x:v>
      </x:c>
      <x:c r="H53" s="22" t="str">
        <x:v>Card cluster</x:v>
      </x:c>
      <x:c r="I53" s="22" t="str">
        <x:v>N/A</x:v>
      </x:c>
      <x:c r="J53" s="22" t="str">
        <x:v>SERP/query data</x:v>
      </x:c>
      <x:c r="K53" s="22" t="str">
        <x:v>P1</x:v>
      </x:c>
      <x:c r="L53" s="22" t="str">
        <x:v>Research</x:v>
      </x:c>
      <x:c r="M53" s="22" t="str">
        <x:v>Initial 60-day backlog / Day 49</x:v>
      </x:c>
      <x:c r="N53" s="22"/>
      <x:c r="O53" s="22"/>
      <x:c r="P53" s="22"/>
      <x:c r="Q53" s="22"/>
      <x:c r="R53" s="22" t="str">
        <x:v>Avoid content sprawl</x:v>
      </x:c>
    </x:row>
    <x:row r="54">
      <x:c r="A54" s="22" t="n">
        <x:v>50</x:v>
      </x:c>
      <x:c r="B54" s="22" t="str">
        <x:v>CTR-L</x:v>
      </x:c>
      <x:c r="C54" s="22" t="str">
        <x:v>Review title/meta loan cluster</x:v>
      </x:c>
      <x:c r="D54" s="22" t="str">
        <x:v>Cash Loan</x:v>
      </x:c>
      <x:c r="E54" s="22" t="str">
        <x:v>CTR</x:v>
      </x:c>
      <x:c r="F54" s="22" t="str">
        <x:v>Conditional update</x:v>
      </x:c>
      <x:c r="G54" s="22" t="str">
        <x:v>No new URL</x:v>
      </x:c>
      <x:c r="H54" s="22" t="str">
        <x:v>Loan cluster</x:v>
      </x:c>
      <x:c r="I54" s="22" t="str">
        <x:v>N/A</x:v>
      </x:c>
      <x:c r="J54" s="22" t="str">
        <x:v>Search Console</x:v>
      </x:c>
      <x:c r="K54" s="22" t="str">
        <x:v>P1</x:v>
      </x:c>
      <x:c r="L54" s="22" t="str">
        <x:v>Research</x:v>
      </x:c>
      <x:c r="M54" s="22" t="str">
        <x:v>Initial 60-day backlog / Day 50</x:v>
      </x:c>
      <x:c r="N54" s="22"/>
      <x:c r="O54" s="22"/>
      <x:c r="P54" s="22"/>
      <x:c r="Q54" s="22"/>
      <x:c r="R54" s="22" t="str">
        <x:v>No clickbait</x:v>
      </x:c>
    </x:row>
    <x:row r="55">
      <x:c r="A55" s="22" t="n">
        <x:v>51</x:v>
      </x:c>
      <x:c r="B55" s="22" t="str">
        <x:v>CTR-C</x:v>
      </x:c>
      <x:c r="C55" s="22" t="str">
        <x:v>Review title/meta card cluster</x:v>
      </x:c>
      <x:c r="D55" s="22" t="str">
        <x:v>Credit Card</x:v>
      </x:c>
      <x:c r="E55" s="22" t="str">
        <x:v>CTR</x:v>
      </x:c>
      <x:c r="F55" s="22" t="str">
        <x:v>Conditional update</x:v>
      </x:c>
      <x:c r="G55" s="22" t="str">
        <x:v>No new URL</x:v>
      </x:c>
      <x:c r="H55" s="22" t="str">
        <x:v>Card cluster</x:v>
      </x:c>
      <x:c r="I55" s="22" t="str">
        <x:v>N/A</x:v>
      </x:c>
      <x:c r="J55" s="22" t="str">
        <x:v>Search Console</x:v>
      </x:c>
      <x:c r="K55" s="22" t="str">
        <x:v>P1</x:v>
      </x:c>
      <x:c r="L55" s="22" t="str">
        <x:v>Research</x:v>
      </x:c>
      <x:c r="M55" s="22" t="str">
        <x:v>Initial 60-day backlog / Day 51</x:v>
      </x:c>
      <x:c r="N55" s="22"/>
      <x:c r="O55" s="22"/>
      <x:c r="P55" s="22"/>
      <x:c r="Q55" s="22"/>
      <x:c r="R55" s="22" t="str">
        <x:v>No promo bait</x:v>
      </x:c>
    </x:row>
    <x:row r="56">
      <x:c r="A56" s="22" t="n">
        <x:v>52</x:v>
      </x:c>
      <x:c r="B56" s="22" t="str">
        <x:v>TRUST-L</x:v>
      </x:c>
      <x:c r="C56" s="22" t="str">
        <x:v>Rà disclosure loan affiliate</x:v>
      </x:c>
      <x:c r="D56" s="22" t="str">
        <x:v>Cash Loan</x:v>
      </x:c>
      <x:c r="E56" s="22" t="str">
        <x:v>Trust</x:v>
      </x:c>
      <x:c r="F56" s="22" t="str">
        <x:v>Update existing</x:v>
      </x:c>
      <x:c r="G56" s="22" t="str">
        <x:v>No new URL</x:v>
      </x:c>
      <x:c r="H56" s="22" t="str">
        <x:v>Loan cluster</x:v>
      </x:c>
      <x:c r="I56" s="22" t="str">
        <x:v>Medium</x:v>
      </x:c>
      <x:c r="J56" s="22" t="str">
        <x:v>S11</x:v>
      </x:c>
      <x:c r="K56" s="22" t="str">
        <x:v>P0</x:v>
      </x:c>
      <x:c r="L56" s="22" t="str">
        <x:v>Ready</x:v>
      </x:c>
      <x:c r="M56" s="22" t="str">
        <x:v>Initial 60-day backlog / Day 52</x:v>
      </x:c>
      <x:c r="N56" s="22"/>
      <x:c r="O56" s="22"/>
      <x:c r="P56" s="22"/>
      <x:c r="Q56" s="22"/>
      <x:c r="R56" s="22" t="str">
        <x:v>Independent site clarity</x:v>
      </x:c>
    </x:row>
    <x:row r="57">
      <x:c r="A57" s="22" t="n">
        <x:v>53</x:v>
      </x:c>
      <x:c r="B57" s="22" t="str">
        <x:v>TRUST-C</x:v>
      </x:c>
      <x:c r="C57" s="22" t="str">
        <x:v>Rà disclosure card affiliate</x:v>
      </x:c>
      <x:c r="D57" s="22" t="str">
        <x:v>Credit Card</x:v>
      </x:c>
      <x:c r="E57" s="22" t="str">
        <x:v>Trust</x:v>
      </x:c>
      <x:c r="F57" s="22" t="str">
        <x:v>Update existing</x:v>
      </x:c>
      <x:c r="G57" s="22" t="str">
        <x:v>No new URL</x:v>
      </x:c>
      <x:c r="H57" s="22" t="str">
        <x:v>Card cluster</x:v>
      </x:c>
      <x:c r="I57" s="22" t="str">
        <x:v>Medium</x:v>
      </x:c>
      <x:c r="J57" s="22" t="str">
        <x:v>S11</x:v>
      </x:c>
      <x:c r="K57" s="22" t="str">
        <x:v>P0</x:v>
      </x:c>
      <x:c r="L57" s="22" t="str">
        <x:v>Ready</x:v>
      </x:c>
      <x:c r="M57" s="22" t="str">
        <x:v>Initial 60-day backlog / Day 53</x:v>
      </x:c>
      <x:c r="N57" s="22"/>
      <x:c r="O57" s="22"/>
      <x:c r="P57" s="22"/>
      <x:c r="Q57" s="22"/>
      <x:c r="R57" s="22" t="str">
        <x:v>Independent site clarity</x:v>
      </x:c>
    </x:row>
    <x:row r="58">
      <x:c r="A58" s="22" t="n">
        <x:v>54</x:v>
      </x:c>
      <x:c r="B58" s="22" t="str">
        <x:v>SUPPORT</x:v>
      </x:c>
      <x:c r="C58" s="22" t="str">
        <x:v>Rà hotline/support links Home Credit</x:v>
      </x:c>
      <x:c r="D58" s="22" t="str">
        <x:v>All</x:v>
      </x:c>
      <x:c r="E58" s="22" t="str">
        <x:v>Trust/support</x:v>
      </x:c>
      <x:c r="F58" s="22" t="str">
        <x:v>Update existing</x:v>
      </x:c>
      <x:c r="G58" s="22" t="str">
        <x:v>No new URL</x:v>
      </x:c>
      <x:c r="H58" s="22" t="str">
        <x:v>All</x:v>
      </x:c>
      <x:c r="I58" s="22" t="str">
        <x:v>Low</x:v>
      </x:c>
      <x:c r="J58" s="22" t="str">
        <x:v>Home Credit current site</x:v>
      </x:c>
      <x:c r="K58" s="22" t="str">
        <x:v>P1</x:v>
      </x:c>
      <x:c r="L58" s="22" t="str">
        <x:v>Ready</x:v>
      </x:c>
      <x:c r="M58" s="22" t="str">
        <x:v>Initial 60-day backlog / Day 54</x:v>
      </x:c>
      <x:c r="N58" s="22"/>
      <x:c r="O58" s="22"/>
      <x:c r="P58" s="22"/>
      <x:c r="Q58" s="22"/>
      <x:c r="R58" s="22" t="str">
        <x:v>No sensitive data collection</x:v>
      </x:c>
    </x:row>
    <x:row r="59">
      <x:c r="A59" s="22" t="n">
        <x:v>55</x:v>
      </x:c>
      <x:c r="B59" s="22" t="str">
        <x:v>CRAWL</x:v>
      </x:c>
      <x:c r="C59" s="22" t="str">
        <x:v>Rà canonical/index/sitemap</x:v>
      </x:c>
      <x:c r="D59" s="22" t="str">
        <x:v>All</x:v>
      </x:c>
      <x:c r="E59" s="22" t="str">
        <x:v>Technical SEO</x:v>
      </x:c>
      <x:c r="F59" s="22" t="str">
        <x:v>Update implementation</x:v>
      </x:c>
      <x:c r="G59" s="22" t="str">
        <x:v>No new URL</x:v>
      </x:c>
      <x:c r="H59" s="22" t="str">
        <x:v>All</x:v>
      </x:c>
      <x:c r="I59" s="22" t="str">
        <x:v>N/A</x:v>
      </x:c>
      <x:c r="J59" s="22" t="str">
        <x:v>Project config</x:v>
      </x:c>
      <x:c r="K59" s="22" t="str">
        <x:v>P1</x:v>
      </x:c>
      <x:c r="L59" s="22" t="str">
        <x:v>Ready</x:v>
      </x:c>
      <x:c r="M59" s="22" t="str">
        <x:v>Initial 60-day backlog / Day 55</x:v>
      </x:c>
      <x:c r="N59" s="22"/>
      <x:c r="O59" s="22"/>
      <x:c r="P59" s="22"/>
      <x:c r="Q59" s="22"/>
      <x:c r="R59" s="22" t="str">
        <x:v>Preserve current routes</x:v>
      </x:c>
    </x:row>
    <x:row r="60">
      <x:c r="A60" s="22" t="n">
        <x:v>56</x:v>
      </x:c>
      <x:c r="B60" s="22" t="str">
        <x:v>FINAL-L</x:v>
      </x:c>
      <x:c r="C60" s="22" t="str">
        <x:v>Final content QA loan cluster</x:v>
      </x:c>
      <x:c r="D60" s="22" t="str">
        <x:v>Cash Loan</x:v>
      </x:c>
      <x:c r="E60" s="22" t="str">
        <x:v>QA</x:v>
      </x:c>
      <x:c r="F60" s="22" t="str">
        <x:v>Update existing</x:v>
      </x:c>
      <x:c r="G60" s="22" t="str">
        <x:v>No new URL</x:v>
      </x:c>
      <x:c r="H60" s="22" t="str">
        <x:v>Loan cluster</x:v>
      </x:c>
      <x:c r="I60" s="22" t="str">
        <x:v>N/A</x:v>
      </x:c>
      <x:c r="J60" s="22" t="str">
        <x:v>All current sources</x:v>
      </x:c>
      <x:c r="K60" s="22" t="str">
        <x:v>P0</x:v>
      </x:c>
      <x:c r="L60" s="22" t="str">
        <x:v>Ready</x:v>
      </x:c>
      <x:c r="M60" s="22" t="str">
        <x:v>Initial 60-day backlog / Day 56</x:v>
      </x:c>
      <x:c r="N60" s="22"/>
      <x:c r="O60" s="22"/>
      <x:c r="P60" s="22"/>
      <x:c r="Q60" s="22"/>
      <x:c r="R60" s="22" t="str">
        <x:v>YMYL</x:v>
      </x:c>
    </x:row>
    <x:row r="61">
      <x:c r="A61" s="22" t="n">
        <x:v>57</x:v>
      </x:c>
      <x:c r="B61" s="22" t="str">
        <x:v>FINAL-C</x:v>
      </x:c>
      <x:c r="C61" s="22" t="str">
        <x:v>Final content QA card cluster</x:v>
      </x:c>
      <x:c r="D61" s="22" t="str">
        <x:v>Credit Card</x:v>
      </x:c>
      <x:c r="E61" s="22" t="str">
        <x:v>QA</x:v>
      </x:c>
      <x:c r="F61" s="22" t="str">
        <x:v>Update existing</x:v>
      </x:c>
      <x:c r="G61" s="22" t="str">
        <x:v>No new URL</x:v>
      </x:c>
      <x:c r="H61" s="22" t="str">
        <x:v>Card cluster</x:v>
      </x:c>
      <x:c r="I61" s="22" t="str">
        <x:v>N/A</x:v>
      </x:c>
      <x:c r="J61" s="22" t="str">
        <x:v>Latest tariff + FAQ</x:v>
      </x:c>
      <x:c r="K61" s="22" t="str">
        <x:v>P0</x:v>
      </x:c>
      <x:c r="L61" s="22" t="str">
        <x:v>Ready</x:v>
      </x:c>
      <x:c r="M61" s="22" t="str">
        <x:v>Initial 60-day backlog / Day 57</x:v>
      </x:c>
      <x:c r="N61" s="22"/>
      <x:c r="O61" s="22"/>
      <x:c r="P61" s="22"/>
      <x:c r="Q61" s="22"/>
      <x:c r="R61" s="22" t="str">
        <x:v>YMYL</x:v>
      </x:c>
    </x:row>
    <x:row r="62">
      <x:c r="A62" s="22" t="n">
        <x:v>58</x:v>
      </x:c>
      <x:c r="B62" s="22" t="str">
        <x:v>FINAL-CTA</x:v>
      </x:c>
      <x:c r="C62" s="22" t="str">
        <x:v>Final affiliate funnel QA</x:v>
      </x:c>
      <x:c r="D62" s="22" t="str">
        <x:v>All</x:v>
      </x:c>
      <x:c r="E62" s="22" t="str">
        <x:v>Conversion</x:v>
      </x:c>
      <x:c r="F62" s="22" t="str">
        <x:v>Update existing</x:v>
      </x:c>
      <x:c r="G62" s="22" t="str">
        <x:v>No new URL</x:v>
      </x:c>
      <x:c r="H62" s="22" t="str">
        <x:v>All</x:v>
      </x:c>
      <x:c r="I62" s="22" t="str">
        <x:v>N/A</x:v>
      </x:c>
      <x:c r="J62" s="22" t="str">
        <x:v>Analytics + CTA Matrix</x:v>
      </x:c>
      <x:c r="K62" s="22" t="str">
        <x:v>P0</x:v>
      </x:c>
      <x:c r="L62" s="22" t="str">
        <x:v>Ready</x:v>
      </x:c>
      <x:c r="M62" s="22" t="str">
        <x:v>Initial 60-day backlog / Day 58</x:v>
      </x:c>
      <x:c r="N62" s="22"/>
      <x:c r="O62" s="22"/>
      <x:c r="P62" s="22"/>
      <x:c r="Q62" s="22"/>
      <x:c r="R62" s="22" t="str">
        <x:v>Business QA</x:v>
      </x:c>
    </x:row>
    <x:row r="63">
      <x:c r="A63" s="22" t="n">
        <x:v>59</x:v>
      </x:c>
      <x:c r="B63" s="22" t="str">
        <x:v>FINAL-DATA</x:v>
      </x:c>
      <x:c r="C63" s="22" t="str">
        <x:v>Baseline vs 60-day comparison</x:v>
      </x:c>
      <x:c r="D63" s="22" t="str">
        <x:v>All</x:v>
      </x:c>
      <x:c r="E63" s="22" t="str">
        <x:v>Measurement</x:v>
      </x:c>
      <x:c r="F63" s="22" t="str">
        <x:v>Report</x:v>
      </x:c>
      <x:c r="G63" s="22" t="str">
        <x:v>No new URL</x:v>
      </x:c>
      <x:c r="H63" s="22" t="str">
        <x:v>All</x:v>
      </x:c>
      <x:c r="I63" s="22" t="str">
        <x:v>N/A</x:v>
      </x:c>
      <x:c r="J63" s="22" t="str">
        <x:v>Search Console + analytics</x:v>
      </x:c>
      <x:c r="K63" s="22" t="str">
        <x:v>P0</x:v>
      </x:c>
      <x:c r="L63" s="22" t="str">
        <x:v>Ready</x:v>
      </x:c>
      <x:c r="M63" s="22" t="str">
        <x:v>Initial 60-day backlog / Day 59</x:v>
      </x:c>
      <x:c r="N63" s="22"/>
      <x:c r="O63" s="22"/>
      <x:c r="P63" s="22"/>
      <x:c r="Q63" s="22"/>
      <x:c r="R63" s="22" t="str">
        <x:v>Cluster-level</x:v>
      </x:c>
    </x:row>
    <x:row r="64">
      <x:c r="A64" s="22" t="n">
        <x:v>60</x:v>
      </x:c>
      <x:c r="B64" s="22" t="str">
        <x:v>NEXT-CYCLE</x:v>
      </x:c>
      <x:c r="C64" s="22" t="str">
        <x:v>Chọn content Home Credit cho chu kỳ tiếp theo</x:v>
      </x:c>
      <x:c r="D64" s="22" t="str">
        <x:v>All</x:v>
      </x:c>
      <x:c r="E64" s="22" t="str">
        <x:v>Strategy</x:v>
      </x:c>
      <x:c r="F64" s="22" t="str">
        <x:v>Research</x:v>
      </x:c>
      <x:c r="G64" s="22" t="str">
        <x:v>No new URL</x:v>
      </x:c>
      <x:c r="H64" s="22" t="str">
        <x:v>All</x:v>
      </x:c>
      <x:c r="I64" s="22" t="str">
        <x:v>N/A</x:v>
      </x:c>
      <x:c r="J64" s="22" t="str">
        <x:v>Real query + conversion data</x:v>
      </x:c>
      <x:c r="K64" s="22" t="str">
        <x:v>P0</x:v>
      </x:c>
      <x:c r="L64" s="22" t="str">
        <x:v>Research</x:v>
      </x:c>
      <x:c r="M64" s="22" t="str">
        <x:v>Initial 60-day backlog / Day 60</x:v>
      </x:c>
      <x:c r="N64" s="22"/>
      <x:c r="O64" s="22"/>
      <x:c r="P64" s="22"/>
      <x:c r="Q64" s="22"/>
      <x:c r="R64" s="22" t="str">
        <x:v>No 1-keyword=1-page</x:v>
      </x:c>
    </x:row>
    <x:row r="65">
      <x:c r="A65" s="22" t="n">
        <x:v>61</x:v>
      </x:c>
      <x:c r="B65" s="22"/>
      <x:c r="C65" s="22"/>
      <x:c r="D65" s="22"/>
      <x:c r="E65" s="22"/>
      <x:c r="F65" s="22"/>
      <x:c r="G65" s="22"/>
      <x:c r="H65" s="22"/>
      <x:c r="I65" s="22"/>
      <x:c r="J65" s="22"/>
      <x:c r="K65" s="22"/>
      <x:c r="L65" s="22"/>
      <x:c r="M65" s="22" t="str">
        <x:v>Discovery append</x:v>
      </x:c>
      <x:c r="N65" s="22"/>
      <x:c r="O65" s="22"/>
      <x:c r="P65" s="22"/>
      <x:c r="Q65" s="22"/>
      <x:c r="R65" s="22"/>
    </x:row>
    <x:row r="66">
      <x:c r="A66" s="22" t="n">
        <x:v>62</x:v>
      </x:c>
      <x:c r="B66" s="22"/>
      <x:c r="C66" s="22"/>
      <x:c r="D66" s="22"/>
      <x:c r="E66" s="22"/>
      <x:c r="F66" s="22"/>
      <x:c r="G66" s="22"/>
      <x:c r="H66" s="22"/>
      <x:c r="I66" s="22"/>
      <x:c r="J66" s="22"/>
      <x:c r="K66" s="22"/>
      <x:c r="L66" s="22"/>
      <x:c r="M66" s="22" t="str">
        <x:v>Discovery append</x:v>
      </x:c>
      <x:c r="N66" s="22"/>
      <x:c r="O66" s="22"/>
      <x:c r="P66" s="22"/>
      <x:c r="Q66" s="22"/>
      <x:c r="R66" s="22"/>
    </x:row>
    <x:row r="67">
      <x:c r="A67" s="22" t="n">
        <x:v>63</x:v>
      </x:c>
      <x:c r="B67" s="22"/>
      <x:c r="C67" s="22"/>
      <x:c r="D67" s="22"/>
      <x:c r="E67" s="22"/>
      <x:c r="F67" s="22"/>
      <x:c r="G67" s="22"/>
      <x:c r="H67" s="22"/>
      <x:c r="I67" s="22"/>
      <x:c r="J67" s="22"/>
      <x:c r="K67" s="22"/>
      <x:c r="L67" s="22"/>
      <x:c r="M67" s="22" t="str">
        <x:v>Discovery append</x:v>
      </x:c>
      <x:c r="N67" s="22"/>
      <x:c r="O67" s="22"/>
      <x:c r="P67" s="22"/>
      <x:c r="Q67" s="22"/>
      <x:c r="R67" s="22"/>
    </x:row>
    <x:row r="68">
      <x:c r="A68" s="22" t="n">
        <x:v>64</x:v>
      </x:c>
      <x:c r="B68" s="22"/>
      <x:c r="C68" s="22"/>
      <x:c r="D68" s="22"/>
      <x:c r="E68" s="22"/>
      <x:c r="F68" s="22"/>
      <x:c r="G68" s="22"/>
      <x:c r="H68" s="22"/>
      <x:c r="I68" s="22"/>
      <x:c r="J68" s="22"/>
      <x:c r="K68" s="22"/>
      <x:c r="L68" s="22"/>
      <x:c r="M68" s="22" t="str">
        <x:v>Discovery append</x:v>
      </x:c>
      <x:c r="N68" s="22"/>
      <x:c r="O68" s="22"/>
      <x:c r="P68" s="22"/>
      <x:c r="Q68" s="22"/>
      <x:c r="R68" s="22"/>
    </x:row>
    <x:row r="69">
      <x:c r="A69" s="22" t="n">
        <x:v>65</x:v>
      </x:c>
      <x:c r="B69" s="22"/>
      <x:c r="C69" s="22"/>
      <x:c r="D69" s="22"/>
      <x:c r="E69" s="22"/>
      <x:c r="F69" s="22"/>
      <x:c r="G69" s="22"/>
      <x:c r="H69" s="22"/>
      <x:c r="I69" s="22"/>
      <x:c r="J69" s="22"/>
      <x:c r="K69" s="22"/>
      <x:c r="L69" s="22"/>
      <x:c r="M69" s="22" t="str">
        <x:v>Discovery append</x:v>
      </x:c>
      <x:c r="N69" s="22"/>
      <x:c r="O69" s="22"/>
      <x:c r="P69" s="22"/>
      <x:c r="Q69" s="22"/>
      <x:c r="R69" s="22"/>
    </x:row>
    <x:row r="70">
      <x:c r="A70" s="22" t="n">
        <x:v>66</x:v>
      </x:c>
      <x:c r="B70" s="22"/>
      <x:c r="C70" s="22"/>
      <x:c r="D70" s="22"/>
      <x:c r="E70" s="22"/>
      <x:c r="F70" s="22"/>
      <x:c r="G70" s="22"/>
      <x:c r="H70" s="22"/>
      <x:c r="I70" s="22"/>
      <x:c r="J70" s="22"/>
      <x:c r="K70" s="22"/>
      <x:c r="L70" s="22"/>
      <x:c r="M70" s="22" t="str">
        <x:v>Discovery append</x:v>
      </x:c>
      <x:c r="N70" s="22"/>
      <x:c r="O70" s="22"/>
      <x:c r="P70" s="22"/>
      <x:c r="Q70" s="22"/>
      <x:c r="R70" s="22"/>
    </x:row>
    <x:row r="71">
      <x:c r="A71" s="22" t="n">
        <x:v>67</x:v>
      </x:c>
      <x:c r="B71" s="22"/>
      <x:c r="C71" s="22"/>
      <x:c r="D71" s="22"/>
      <x:c r="E71" s="22"/>
      <x:c r="F71" s="22"/>
      <x:c r="G71" s="22"/>
      <x:c r="H71" s="22"/>
      <x:c r="I71" s="22"/>
      <x:c r="J71" s="22"/>
      <x:c r="K71" s="22"/>
      <x:c r="L71" s="22"/>
      <x:c r="M71" s="22" t="str">
        <x:v>Discovery append</x:v>
      </x:c>
      <x:c r="N71" s="22"/>
      <x:c r="O71" s="22"/>
      <x:c r="P71" s="22"/>
      <x:c r="Q71" s="22"/>
      <x:c r="R71" s="22"/>
    </x:row>
    <x:row r="72">
      <x:c r="A72" s="22" t="n">
        <x:v>68</x:v>
      </x:c>
      <x:c r="B72" s="22"/>
      <x:c r="C72" s="22"/>
      <x:c r="D72" s="22"/>
      <x:c r="E72" s="22"/>
      <x:c r="F72" s="22"/>
      <x:c r="G72" s="22"/>
      <x:c r="H72" s="22"/>
      <x:c r="I72" s="22"/>
      <x:c r="J72" s="22"/>
      <x:c r="K72" s="22"/>
      <x:c r="L72" s="22"/>
      <x:c r="M72" s="22" t="str">
        <x:v>Discovery append</x:v>
      </x:c>
      <x:c r="N72" s="22"/>
      <x:c r="O72" s="22"/>
      <x:c r="P72" s="22"/>
      <x:c r="Q72" s="22"/>
      <x:c r="R72" s="22"/>
    </x:row>
    <x:row r="73">
      <x:c r="A73" s="22" t="n">
        <x:v>69</x:v>
      </x:c>
      <x:c r="B73" s="22"/>
      <x:c r="C73" s="22"/>
      <x:c r="D73" s="22"/>
      <x:c r="E73" s="22"/>
      <x:c r="F73" s="22"/>
      <x:c r="G73" s="22"/>
      <x:c r="H73" s="22"/>
      <x:c r="I73" s="22"/>
      <x:c r="J73" s="22"/>
      <x:c r="K73" s="22"/>
      <x:c r="L73" s="22"/>
      <x:c r="M73" s="22" t="str">
        <x:v>Discovery append</x:v>
      </x:c>
      <x:c r="N73" s="22"/>
      <x:c r="O73" s="22"/>
      <x:c r="P73" s="22"/>
      <x:c r="Q73" s="22"/>
      <x:c r="R73" s="22"/>
    </x:row>
    <x:row r="74">
      <x:c r="A74" s="22" t="n">
        <x:v>70</x:v>
      </x:c>
      <x:c r="B74" s="22"/>
      <x:c r="C74" s="22"/>
      <x:c r="D74" s="22"/>
      <x:c r="E74" s="22"/>
      <x:c r="F74" s="22"/>
      <x:c r="G74" s="22"/>
      <x:c r="H74" s="22"/>
      <x:c r="I74" s="22"/>
      <x:c r="J74" s="22"/>
      <x:c r="K74" s="22"/>
      <x:c r="L74" s="22"/>
      <x:c r="M74" s="22" t="str">
        <x:v>Discovery append</x:v>
      </x:c>
      <x:c r="N74" s="22"/>
      <x:c r="O74" s="22"/>
      <x:c r="P74" s="22"/>
      <x:c r="Q74" s="22"/>
      <x:c r="R74" s="22"/>
    </x:row>
    <x:row r="75">
      <x:c r="A75" s="22" t="n">
        <x:v>71</x:v>
      </x:c>
      <x:c r="B75" s="22"/>
      <x:c r="C75" s="22"/>
      <x:c r="D75" s="22"/>
      <x:c r="E75" s="22"/>
      <x:c r="F75" s="22"/>
      <x:c r="G75" s="22"/>
      <x:c r="H75" s="22"/>
      <x:c r="I75" s="22"/>
      <x:c r="J75" s="22"/>
      <x:c r="K75" s="22"/>
      <x:c r="L75" s="22"/>
      <x:c r="M75" s="22" t="str">
        <x:v>Discovery append</x:v>
      </x:c>
      <x:c r="N75" s="22"/>
      <x:c r="O75" s="22"/>
      <x:c r="P75" s="22"/>
      <x:c r="Q75" s="22"/>
      <x:c r="R75" s="22"/>
    </x:row>
    <x:row r="76">
      <x:c r="A76" s="22" t="n">
        <x:v>72</x:v>
      </x:c>
      <x:c r="B76" s="22"/>
      <x:c r="C76" s="22"/>
      <x:c r="D76" s="22"/>
      <x:c r="E76" s="22"/>
      <x:c r="F76" s="22"/>
      <x:c r="G76" s="22"/>
      <x:c r="H76" s="22"/>
      <x:c r="I76" s="22"/>
      <x:c r="J76" s="22"/>
      <x:c r="K76" s="22"/>
      <x:c r="L76" s="22"/>
      <x:c r="M76" s="22" t="str">
        <x:v>Discovery append</x:v>
      </x:c>
      <x:c r="N76" s="22"/>
      <x:c r="O76" s="22"/>
      <x:c r="P76" s="22"/>
      <x:c r="Q76" s="22"/>
      <x:c r="R76" s="22"/>
    </x:row>
    <x:row r="77">
      <x:c r="A77" s="22" t="n">
        <x:v>73</x:v>
      </x:c>
      <x:c r="B77" s="22"/>
      <x:c r="C77" s="22"/>
      <x:c r="D77" s="22"/>
      <x:c r="E77" s="22"/>
      <x:c r="F77" s="22"/>
      <x:c r="G77" s="22"/>
      <x:c r="H77" s="22"/>
      <x:c r="I77" s="22"/>
      <x:c r="J77" s="22"/>
      <x:c r="K77" s="22"/>
      <x:c r="L77" s="22"/>
      <x:c r="M77" s="22" t="str">
        <x:v>Discovery append</x:v>
      </x:c>
      <x:c r="N77" s="22"/>
      <x:c r="O77" s="22"/>
      <x:c r="P77" s="22"/>
      <x:c r="Q77" s="22"/>
      <x:c r="R77" s="22"/>
    </x:row>
    <x:row r="78">
      <x:c r="A78" s="22" t="n">
        <x:v>74</x:v>
      </x:c>
      <x:c r="B78" s="22"/>
      <x:c r="C78" s="22"/>
      <x:c r="D78" s="22"/>
      <x:c r="E78" s="22"/>
      <x:c r="F78" s="22"/>
      <x:c r="G78" s="22"/>
      <x:c r="H78" s="22"/>
      <x:c r="I78" s="22"/>
      <x:c r="J78" s="22"/>
      <x:c r="K78" s="22"/>
      <x:c r="L78" s="22"/>
      <x:c r="M78" s="22" t="str">
        <x:v>Discovery append</x:v>
      </x:c>
      <x:c r="N78" s="22"/>
      <x:c r="O78" s="22"/>
      <x:c r="P78" s="22"/>
      <x:c r="Q78" s="22"/>
      <x:c r="R78" s="22"/>
    </x:row>
    <x:row r="79">
      <x:c r="A79" s="22" t="n">
        <x:v>75</x:v>
      </x:c>
      <x:c r="B79" s="22"/>
      <x:c r="C79" s="22"/>
      <x:c r="D79" s="22"/>
      <x:c r="E79" s="22"/>
      <x:c r="F79" s="22"/>
      <x:c r="G79" s="22"/>
      <x:c r="H79" s="22"/>
      <x:c r="I79" s="22"/>
      <x:c r="J79" s="22"/>
      <x:c r="K79" s="22"/>
      <x:c r="L79" s="22"/>
      <x:c r="M79" s="22" t="str">
        <x:v>Discovery append</x:v>
      </x:c>
      <x:c r="N79" s="22"/>
      <x:c r="O79" s="22"/>
      <x:c r="P79" s="22"/>
      <x:c r="Q79" s="22"/>
      <x:c r="R79" s="22"/>
    </x:row>
    <x:row r="80">
      <x:c r="A80" s="22" t="n">
        <x:v>76</x:v>
      </x:c>
      <x:c r="B80" s="22"/>
      <x:c r="C80" s="22"/>
      <x:c r="D80" s="22"/>
      <x:c r="E80" s="22"/>
      <x:c r="F80" s="22"/>
      <x:c r="G80" s="22"/>
      <x:c r="H80" s="22"/>
      <x:c r="I80" s="22"/>
      <x:c r="J80" s="22"/>
      <x:c r="K80" s="22"/>
      <x:c r="L80" s="22"/>
      <x:c r="M80" s="22" t="str">
        <x:v>Discovery append</x:v>
      </x:c>
      <x:c r="N80" s="22"/>
      <x:c r="O80" s="22"/>
      <x:c r="P80" s="22"/>
      <x:c r="Q80" s="22"/>
      <x:c r="R80" s="22"/>
    </x:row>
    <x:row r="81">
      <x:c r="A81" s="22" t="n">
        <x:v>77</x:v>
      </x:c>
      <x:c r="B81" s="22"/>
      <x:c r="C81" s="22"/>
      <x:c r="D81" s="22"/>
      <x:c r="E81" s="22"/>
      <x:c r="F81" s="22"/>
      <x:c r="G81" s="22"/>
      <x:c r="H81" s="22"/>
      <x:c r="I81" s="22"/>
      <x:c r="J81" s="22"/>
      <x:c r="K81" s="22"/>
      <x:c r="L81" s="22"/>
      <x:c r="M81" s="22" t="str">
        <x:v>Discovery append</x:v>
      </x:c>
      <x:c r="N81" s="22"/>
      <x:c r="O81" s="22"/>
      <x:c r="P81" s="22"/>
      <x:c r="Q81" s="22"/>
      <x:c r="R81" s="22"/>
    </x:row>
    <x:row r="82">
      <x:c r="A82" s="22" t="n">
        <x:v>78</x:v>
      </x:c>
      <x:c r="B82" s="22"/>
      <x:c r="C82" s="22"/>
      <x:c r="D82" s="22"/>
      <x:c r="E82" s="22"/>
      <x:c r="F82" s="22"/>
      <x:c r="G82" s="22"/>
      <x:c r="H82" s="22"/>
      <x:c r="I82" s="22"/>
      <x:c r="J82" s="22"/>
      <x:c r="K82" s="22"/>
      <x:c r="L82" s="22"/>
      <x:c r="M82" s="22" t="str">
        <x:v>Discovery append</x:v>
      </x:c>
      <x:c r="N82" s="22"/>
      <x:c r="O82" s="22"/>
      <x:c r="P82" s="22"/>
      <x:c r="Q82" s="22"/>
      <x:c r="R82" s="22"/>
    </x:row>
    <x:row r="83">
      <x:c r="A83" s="22" t="n">
        <x:v>79</x:v>
      </x:c>
      <x:c r="B83" s="22"/>
      <x:c r="C83" s="22"/>
      <x:c r="D83" s="22"/>
      <x:c r="E83" s="22"/>
      <x:c r="F83" s="22"/>
      <x:c r="G83" s="22"/>
      <x:c r="H83" s="22"/>
      <x:c r="I83" s="22"/>
      <x:c r="J83" s="22"/>
      <x:c r="K83" s="22"/>
      <x:c r="L83" s="22"/>
      <x:c r="M83" s="22" t="str">
        <x:v>Discovery append</x:v>
      </x:c>
      <x:c r="N83" s="22"/>
      <x:c r="O83" s="22"/>
      <x:c r="P83" s="22"/>
      <x:c r="Q83" s="22"/>
      <x:c r="R83" s="22"/>
    </x:row>
    <x:row r="84">
      <x:c r="A84" s="22" t="n">
        <x:v>80</x:v>
      </x:c>
      <x:c r="B84" s="22"/>
      <x:c r="C84" s="22"/>
      <x:c r="D84" s="22"/>
      <x:c r="E84" s="22"/>
      <x:c r="F84" s="22"/>
      <x:c r="G84" s="22"/>
      <x:c r="H84" s="22"/>
      <x:c r="I84" s="22"/>
      <x:c r="J84" s="22"/>
      <x:c r="K84" s="22"/>
      <x:c r="L84" s="22"/>
      <x:c r="M84" s="22" t="str">
        <x:v>Discovery append</x:v>
      </x:c>
      <x:c r="N84" s="22"/>
      <x:c r="O84" s="22"/>
      <x:c r="P84" s="22"/>
      <x:c r="Q84" s="22"/>
      <x:c r="R84" s="22"/>
    </x:row>
    <x:row r="85">
      <x:c r="A85" s="22" t="n">
        <x:v>81</x:v>
      </x:c>
      <x:c r="B85" s="22"/>
      <x:c r="C85" s="22"/>
      <x:c r="D85" s="22"/>
      <x:c r="E85" s="22"/>
      <x:c r="F85" s="22"/>
      <x:c r="G85" s="22"/>
      <x:c r="H85" s="22"/>
      <x:c r="I85" s="22"/>
      <x:c r="J85" s="22"/>
      <x:c r="K85" s="22"/>
      <x:c r="L85" s="22"/>
      <x:c r="M85" s="22" t="str">
        <x:v>Discovery append</x:v>
      </x:c>
      <x:c r="N85" s="22"/>
      <x:c r="O85" s="22"/>
      <x:c r="P85" s="22"/>
      <x:c r="Q85" s="22"/>
      <x:c r="R85" s="22"/>
    </x:row>
    <x:row r="86">
      <x:c r="A86" s="22" t="n">
        <x:v>82</x:v>
      </x:c>
      <x:c r="B86" s="22"/>
      <x:c r="C86" s="22"/>
      <x:c r="D86" s="22"/>
      <x:c r="E86" s="22"/>
      <x:c r="F86" s="22"/>
      <x:c r="G86" s="22"/>
      <x:c r="H86" s="22"/>
      <x:c r="I86" s="22"/>
      <x:c r="J86" s="22"/>
      <x:c r="K86" s="22"/>
      <x:c r="L86" s="22"/>
      <x:c r="M86" s="22" t="str">
        <x:v>Discovery append</x:v>
      </x:c>
      <x:c r="N86" s="22"/>
      <x:c r="O86" s="22"/>
      <x:c r="P86" s="22"/>
      <x:c r="Q86" s="22"/>
      <x:c r="R86" s="22"/>
    </x:row>
    <x:row r="87">
      <x:c r="A87" s="22" t="n">
        <x:v>83</x:v>
      </x:c>
      <x:c r="B87" s="22"/>
      <x:c r="C87" s="22"/>
      <x:c r="D87" s="22"/>
      <x:c r="E87" s="22"/>
      <x:c r="F87" s="22"/>
      <x:c r="G87" s="22"/>
      <x:c r="H87" s="22"/>
      <x:c r="I87" s="22"/>
      <x:c r="J87" s="22"/>
      <x:c r="K87" s="22"/>
      <x:c r="L87" s="22"/>
      <x:c r="M87" s="22" t="str">
        <x:v>Discovery append</x:v>
      </x:c>
      <x:c r="N87" s="22"/>
      <x:c r="O87" s="22"/>
      <x:c r="P87" s="22"/>
      <x:c r="Q87" s="22"/>
      <x:c r="R87" s="22"/>
    </x:row>
    <x:row r="88">
      <x:c r="A88" s="22" t="n">
        <x:v>84</x:v>
      </x:c>
      <x:c r="B88" s="22"/>
      <x:c r="C88" s="22"/>
      <x:c r="D88" s="22"/>
      <x:c r="E88" s="22"/>
      <x:c r="F88" s="22"/>
      <x:c r="G88" s="22"/>
      <x:c r="H88" s="22"/>
      <x:c r="I88" s="22"/>
      <x:c r="J88" s="22"/>
      <x:c r="K88" s="22"/>
      <x:c r="L88" s="22"/>
      <x:c r="M88" s="22" t="str">
        <x:v>Discovery append</x:v>
      </x:c>
      <x:c r="N88" s="22"/>
      <x:c r="O88" s="22"/>
      <x:c r="P88" s="22"/>
      <x:c r="Q88" s="22"/>
      <x:c r="R88" s="22"/>
    </x:row>
    <x:row r="89">
      <x:c r="A89" s="22" t="n">
        <x:v>85</x:v>
      </x:c>
      <x:c r="B89" s="22"/>
      <x:c r="C89" s="22"/>
      <x:c r="D89" s="22"/>
      <x:c r="E89" s="22"/>
      <x:c r="F89" s="22"/>
      <x:c r="G89" s="22"/>
      <x:c r="H89" s="22"/>
      <x:c r="I89" s="22"/>
      <x:c r="J89" s="22"/>
      <x:c r="K89" s="22"/>
      <x:c r="L89" s="22"/>
      <x:c r="M89" s="22" t="str">
        <x:v>Discovery append</x:v>
      </x:c>
      <x:c r="N89" s="22"/>
      <x:c r="O89" s="22"/>
      <x:c r="P89" s="22"/>
      <x:c r="Q89" s="22"/>
      <x:c r="R89" s="22"/>
    </x:row>
    <x:row r="90">
      <x:c r="A90" s="22" t="n">
        <x:v>86</x:v>
      </x:c>
      <x:c r="B90" s="22"/>
      <x:c r="C90" s="22"/>
      <x:c r="D90" s="22"/>
      <x:c r="E90" s="22"/>
      <x:c r="F90" s="22"/>
      <x:c r="G90" s="22"/>
      <x:c r="H90" s="22"/>
      <x:c r="I90" s="22"/>
      <x:c r="J90" s="22"/>
      <x:c r="K90" s="22"/>
      <x:c r="L90" s="22"/>
      <x:c r="M90" s="22" t="str">
        <x:v>Discovery append</x:v>
      </x:c>
      <x:c r="N90" s="22"/>
      <x:c r="O90" s="22"/>
      <x:c r="P90" s="22"/>
      <x:c r="Q90" s="22"/>
      <x:c r="R90" s="22"/>
    </x:row>
    <x:row r="91">
      <x:c r="A91" s="22" t="n">
        <x:v>87</x:v>
      </x:c>
      <x:c r="B91" s="22"/>
      <x:c r="C91" s="22"/>
      <x:c r="D91" s="22"/>
      <x:c r="E91" s="22"/>
      <x:c r="F91" s="22"/>
      <x:c r="G91" s="22"/>
      <x:c r="H91" s="22"/>
      <x:c r="I91" s="22"/>
      <x:c r="J91" s="22"/>
      <x:c r="K91" s="22"/>
      <x:c r="L91" s="22"/>
      <x:c r="M91" s="22" t="str">
        <x:v>Discovery append</x:v>
      </x:c>
      <x:c r="N91" s="22"/>
      <x:c r="O91" s="22"/>
      <x:c r="P91" s="22"/>
      <x:c r="Q91" s="22"/>
      <x:c r="R91" s="22"/>
    </x:row>
    <x:row r="92">
      <x:c r="A92" s="22" t="n">
        <x:v>88</x:v>
      </x:c>
      <x:c r="B92" s="22"/>
      <x:c r="C92" s="22"/>
      <x:c r="D92" s="22"/>
      <x:c r="E92" s="22"/>
      <x:c r="F92" s="22"/>
      <x:c r="G92" s="22"/>
      <x:c r="H92" s="22"/>
      <x:c r="I92" s="22"/>
      <x:c r="J92" s="22"/>
      <x:c r="K92" s="22"/>
      <x:c r="L92" s="22"/>
      <x:c r="M92" s="22" t="str">
        <x:v>Discovery append</x:v>
      </x:c>
      <x:c r="N92" s="22"/>
      <x:c r="O92" s="22"/>
      <x:c r="P92" s="22"/>
      <x:c r="Q92" s="22"/>
      <x:c r="R92" s="22"/>
    </x:row>
    <x:row r="93">
      <x:c r="A93" s="22" t="n">
        <x:v>89</x:v>
      </x:c>
      <x:c r="B93" s="22"/>
      <x:c r="C93" s="22"/>
      <x:c r="D93" s="22"/>
      <x:c r="E93" s="22"/>
      <x:c r="F93" s="22"/>
      <x:c r="G93" s="22"/>
      <x:c r="H93" s="22"/>
      <x:c r="I93" s="22"/>
      <x:c r="J93" s="22"/>
      <x:c r="K93" s="22"/>
      <x:c r="L93" s="22"/>
      <x:c r="M93" s="22" t="str">
        <x:v>Discovery append</x:v>
      </x:c>
      <x:c r="N93" s="22"/>
      <x:c r="O93" s="22"/>
      <x:c r="P93" s="22"/>
      <x:c r="Q93" s="22"/>
      <x:c r="R93" s="22"/>
    </x:row>
    <x:row r="94">
      <x:c r="A94" s="22" t="n">
        <x:v>90</x:v>
      </x:c>
      <x:c r="B94" s="22"/>
      <x:c r="C94" s="22"/>
      <x:c r="D94" s="22"/>
      <x:c r="E94" s="22"/>
      <x:c r="F94" s="22"/>
      <x:c r="G94" s="22"/>
      <x:c r="H94" s="22"/>
      <x:c r="I94" s="22"/>
      <x:c r="J94" s="22"/>
      <x:c r="K94" s="22"/>
      <x:c r="L94" s="22"/>
      <x:c r="M94" s="22" t="str">
        <x:v>Discovery append</x:v>
      </x:c>
      <x:c r="N94" s="22"/>
      <x:c r="O94" s="22"/>
      <x:c r="P94" s="22"/>
      <x:c r="Q94" s="22"/>
      <x:c r="R94" s="22"/>
    </x:row>
    <x:row r="95">
      <x:c r="A95" s="22" t="n">
        <x:v>91</x:v>
      </x:c>
      <x:c r="B95" s="22"/>
      <x:c r="C95" s="22"/>
      <x:c r="D95" s="22"/>
      <x:c r="E95" s="22"/>
      <x:c r="F95" s="22"/>
      <x:c r="G95" s="22"/>
      <x:c r="H95" s="22"/>
      <x:c r="I95" s="22"/>
      <x:c r="J95" s="22"/>
      <x:c r="K95" s="22"/>
      <x:c r="L95" s="22"/>
      <x:c r="M95" s="22" t="str">
        <x:v>Discovery append</x:v>
      </x:c>
      <x:c r="N95" s="22"/>
      <x:c r="O95" s="22"/>
      <x:c r="P95" s="22"/>
      <x:c r="Q95" s="22"/>
      <x:c r="R95" s="22"/>
    </x:row>
    <x:row r="96">
      <x:c r="A96" s="22" t="n">
        <x:v>92</x:v>
      </x:c>
      <x:c r="B96" s="22"/>
      <x:c r="C96" s="22"/>
      <x:c r="D96" s="22"/>
      <x:c r="E96" s="22"/>
      <x:c r="F96" s="22"/>
      <x:c r="G96" s="22"/>
      <x:c r="H96" s="22"/>
      <x:c r="I96" s="22"/>
      <x:c r="J96" s="22"/>
      <x:c r="K96" s="22"/>
      <x:c r="L96" s="22"/>
      <x:c r="M96" s="22" t="str">
        <x:v>Discovery append</x:v>
      </x:c>
      <x:c r="N96" s="22"/>
      <x:c r="O96" s="22"/>
      <x:c r="P96" s="22"/>
      <x:c r="Q96" s="22"/>
      <x:c r="R96" s="22"/>
    </x:row>
    <x:row r="97">
      <x:c r="A97" s="22" t="n">
        <x:v>93</x:v>
      </x:c>
      <x:c r="B97" s="22"/>
      <x:c r="C97" s="22"/>
      <x:c r="D97" s="22"/>
      <x:c r="E97" s="22"/>
      <x:c r="F97" s="22"/>
      <x:c r="G97" s="22"/>
      <x:c r="H97" s="22"/>
      <x:c r="I97" s="22"/>
      <x:c r="J97" s="22"/>
      <x:c r="K97" s="22"/>
      <x:c r="L97" s="22"/>
      <x:c r="M97" s="22" t="str">
        <x:v>Discovery append</x:v>
      </x:c>
      <x:c r="N97" s="22"/>
      <x:c r="O97" s="22"/>
      <x:c r="P97" s="22"/>
      <x:c r="Q97" s="22"/>
      <x:c r="R97" s="22"/>
    </x:row>
    <x:row r="98">
      <x:c r="A98" s="22" t="n">
        <x:v>94</x:v>
      </x:c>
      <x:c r="B98" s="22"/>
      <x:c r="C98" s="22"/>
      <x:c r="D98" s="22"/>
      <x:c r="E98" s="22"/>
      <x:c r="F98" s="22"/>
      <x:c r="G98" s="22"/>
      <x:c r="H98" s="22"/>
      <x:c r="I98" s="22"/>
      <x:c r="J98" s="22"/>
      <x:c r="K98" s="22"/>
      <x:c r="L98" s="22"/>
      <x:c r="M98" s="22" t="str">
        <x:v>Discovery append</x:v>
      </x:c>
      <x:c r="N98" s="22"/>
      <x:c r="O98" s="22"/>
      <x:c r="P98" s="22"/>
      <x:c r="Q98" s="22"/>
      <x:c r="R98" s="22"/>
    </x:row>
    <x:row r="99">
      <x:c r="A99" s="22" t="n">
        <x:v>95</x:v>
      </x:c>
      <x:c r="B99" s="22"/>
      <x:c r="C99" s="22"/>
      <x:c r="D99" s="22"/>
      <x:c r="E99" s="22"/>
      <x:c r="F99" s="22"/>
      <x:c r="G99" s="22"/>
      <x:c r="H99" s="22"/>
      <x:c r="I99" s="22"/>
      <x:c r="J99" s="22"/>
      <x:c r="K99" s="22"/>
      <x:c r="L99" s="22"/>
      <x:c r="M99" s="22" t="str">
        <x:v>Discovery append</x:v>
      </x:c>
      <x:c r="N99" s="22"/>
      <x:c r="O99" s="22"/>
      <x:c r="P99" s="22"/>
      <x:c r="Q99" s="22"/>
      <x:c r="R99" s="22"/>
    </x:row>
    <x:row r="100">
      <x:c r="A100" s="22" t="n">
        <x:v>96</x:v>
      </x:c>
      <x:c r="B100" s="22"/>
      <x:c r="C100" s="22"/>
      <x:c r="D100" s="22"/>
      <x:c r="E100" s="22"/>
      <x:c r="F100" s="22"/>
      <x:c r="G100" s="22"/>
      <x:c r="H100" s="22"/>
      <x:c r="I100" s="22"/>
      <x:c r="J100" s="22"/>
      <x:c r="K100" s="22"/>
      <x:c r="L100" s="22"/>
      <x:c r="M100" s="22" t="str">
        <x:v>Discovery append</x:v>
      </x:c>
      <x:c r="N100" s="22"/>
      <x:c r="O100" s="22"/>
      <x:c r="P100" s="22"/>
      <x:c r="Q100" s="22"/>
      <x:c r="R100" s="22"/>
    </x:row>
    <x:row r="101">
      <x:c r="A101" s="22" t="n">
        <x:v>97</x:v>
      </x:c>
      <x:c r="B101" s="22"/>
      <x:c r="C101" s="22"/>
      <x:c r="D101" s="22"/>
      <x:c r="E101" s="22"/>
      <x:c r="F101" s="22"/>
      <x:c r="G101" s="22"/>
      <x:c r="H101" s="22"/>
      <x:c r="I101" s="22"/>
      <x:c r="J101" s="22"/>
      <x:c r="K101" s="22"/>
      <x:c r="L101" s="22"/>
      <x:c r="M101" s="22" t="str">
        <x:v>Discovery append</x:v>
      </x:c>
      <x:c r="N101" s="22"/>
      <x:c r="O101" s="22"/>
      <x:c r="P101" s="22"/>
      <x:c r="Q101" s="22"/>
      <x:c r="R101" s="22"/>
    </x:row>
    <x:row r="102">
      <x:c r="A102" s="22" t="n">
        <x:v>98</x:v>
      </x:c>
      <x:c r="B102" s="22"/>
      <x:c r="C102" s="22"/>
      <x:c r="D102" s="22"/>
      <x:c r="E102" s="22"/>
      <x:c r="F102" s="22"/>
      <x:c r="G102" s="22"/>
      <x:c r="H102" s="22"/>
      <x:c r="I102" s="22"/>
      <x:c r="J102" s="22"/>
      <x:c r="K102" s="22"/>
      <x:c r="L102" s="22"/>
      <x:c r="M102" s="22" t="str">
        <x:v>Discovery append</x:v>
      </x:c>
      <x:c r="N102" s="22"/>
      <x:c r="O102" s="22"/>
      <x:c r="P102" s="22"/>
      <x:c r="Q102" s="22"/>
      <x:c r="R102" s="22"/>
    </x:row>
    <x:row r="103">
      <x:c r="A103" s="22" t="n">
        <x:v>99</x:v>
      </x:c>
      <x:c r="B103" s="22"/>
      <x:c r="C103" s="22"/>
      <x:c r="D103" s="22"/>
      <x:c r="E103" s="22"/>
      <x:c r="F103" s="22"/>
      <x:c r="G103" s="22"/>
      <x:c r="H103" s="22"/>
      <x:c r="I103" s="22"/>
      <x:c r="J103" s="22"/>
      <x:c r="K103" s="22"/>
      <x:c r="L103" s="22"/>
      <x:c r="M103" s="22" t="str">
        <x:v>Discovery append</x:v>
      </x:c>
      <x:c r="N103" s="22"/>
      <x:c r="O103" s="22"/>
      <x:c r="P103" s="22"/>
      <x:c r="Q103" s="22"/>
      <x:c r="R103" s="22"/>
    </x:row>
    <x:row r="104">
      <x:c r="A104" s="22" t="n">
        <x:v>100</x:v>
      </x:c>
      <x:c r="B104" s="22"/>
      <x:c r="C104" s="22"/>
      <x:c r="D104" s="22"/>
      <x:c r="E104" s="22"/>
      <x:c r="F104" s="22"/>
      <x:c r="G104" s="22"/>
      <x:c r="H104" s="22"/>
      <x:c r="I104" s="22"/>
      <x:c r="J104" s="22"/>
      <x:c r="K104" s="22"/>
      <x:c r="L104" s="22"/>
      <x:c r="M104" s="22" t="str">
        <x:v>Discovery append</x:v>
      </x:c>
      <x:c r="N104" s="22"/>
      <x:c r="O104" s="22"/>
      <x:c r="P104" s="22"/>
      <x:c r="Q104" s="22"/>
      <x:c r="R104" s="22"/>
    </x:row>
    <x:row r="105">
      <x:c r="A105" s="22" t="n">
        <x:v>101</x:v>
      </x:c>
      <x:c r="B105" s="22"/>
      <x:c r="C105" s="22"/>
      <x:c r="D105" s="22"/>
      <x:c r="E105" s="22"/>
      <x:c r="F105" s="22"/>
      <x:c r="G105" s="22"/>
      <x:c r="H105" s="22"/>
      <x:c r="I105" s="22"/>
      <x:c r="J105" s="22"/>
      <x:c r="K105" s="22"/>
      <x:c r="L105" s="22"/>
      <x:c r="M105" s="22" t="str">
        <x:v>Discovery append</x:v>
      </x:c>
      <x:c r="N105" s="22"/>
      <x:c r="O105" s="22"/>
      <x:c r="P105" s="22"/>
      <x:c r="Q105" s="22"/>
      <x:c r="R105" s="22"/>
    </x:row>
    <x:row r="106">
      <x:c r="A106" s="22" t="n">
        <x:v>102</x:v>
      </x:c>
      <x:c r="B106" s="22"/>
      <x:c r="C106" s="22"/>
      <x:c r="D106" s="22"/>
      <x:c r="E106" s="22"/>
      <x:c r="F106" s="22"/>
      <x:c r="G106" s="22"/>
      <x:c r="H106" s="22"/>
      <x:c r="I106" s="22"/>
      <x:c r="J106" s="22"/>
      <x:c r="K106" s="22"/>
      <x:c r="L106" s="22"/>
      <x:c r="M106" s="22" t="str">
        <x:v>Discovery append</x:v>
      </x:c>
      <x:c r="N106" s="22"/>
      <x:c r="O106" s="22"/>
      <x:c r="P106" s="22"/>
      <x:c r="Q106" s="22"/>
      <x:c r="R106" s="22"/>
    </x:row>
    <x:row r="107">
      <x:c r="A107" s="22" t="n">
        <x:v>103</x:v>
      </x:c>
      <x:c r="B107" s="22"/>
      <x:c r="C107" s="22"/>
      <x:c r="D107" s="22"/>
      <x:c r="E107" s="22"/>
      <x:c r="F107" s="22"/>
      <x:c r="G107" s="22"/>
      <x:c r="H107" s="22"/>
      <x:c r="I107" s="22"/>
      <x:c r="J107" s="22"/>
      <x:c r="K107" s="22"/>
      <x:c r="L107" s="22"/>
      <x:c r="M107" s="22" t="str">
        <x:v>Discovery append</x:v>
      </x:c>
      <x:c r="N107" s="22"/>
      <x:c r="O107" s="22"/>
      <x:c r="P107" s="22"/>
      <x:c r="Q107" s="22"/>
      <x:c r="R107" s="22"/>
    </x:row>
    <x:row r="108">
      <x:c r="A108" s="22" t="n">
        <x:v>104</x:v>
      </x:c>
      <x:c r="B108" s="22"/>
      <x:c r="C108" s="22"/>
      <x:c r="D108" s="22"/>
      <x:c r="E108" s="22"/>
      <x:c r="F108" s="22"/>
      <x:c r="G108" s="22"/>
      <x:c r="H108" s="22"/>
      <x:c r="I108" s="22"/>
      <x:c r="J108" s="22"/>
      <x:c r="K108" s="22"/>
      <x:c r="L108" s="22"/>
      <x:c r="M108" s="22" t="str">
        <x:v>Discovery append</x:v>
      </x:c>
      <x:c r="N108" s="22"/>
      <x:c r="O108" s="22"/>
      <x:c r="P108" s="22"/>
      <x:c r="Q108" s="22"/>
      <x:c r="R108" s="22"/>
    </x:row>
    <x:row r="109">
      <x:c r="A109" s="22" t="n">
        <x:v>105</x:v>
      </x:c>
      <x:c r="B109" s="22"/>
      <x:c r="C109" s="22"/>
      <x:c r="D109" s="22"/>
      <x:c r="E109" s="22"/>
      <x:c r="F109" s="22"/>
      <x:c r="G109" s="22"/>
      <x:c r="H109" s="22"/>
      <x:c r="I109" s="22"/>
      <x:c r="J109" s="22"/>
      <x:c r="K109" s="22"/>
      <x:c r="L109" s="22"/>
      <x:c r="M109" s="22" t="str">
        <x:v>Discovery append</x:v>
      </x:c>
      <x:c r="N109" s="22"/>
      <x:c r="O109" s="22"/>
      <x:c r="P109" s="22"/>
      <x:c r="Q109" s="22"/>
      <x:c r="R109" s="22"/>
    </x:row>
    <x:row r="110">
      <x:c r="A110" s="22" t="n">
        <x:v>106</x:v>
      </x:c>
      <x:c r="B110" s="22"/>
      <x:c r="C110" s="22"/>
      <x:c r="D110" s="22"/>
      <x:c r="E110" s="22"/>
      <x:c r="F110" s="22"/>
      <x:c r="G110" s="22"/>
      <x:c r="H110" s="22"/>
      <x:c r="I110" s="22"/>
      <x:c r="J110" s="22"/>
      <x:c r="K110" s="22"/>
      <x:c r="L110" s="22"/>
      <x:c r="M110" s="22" t="str">
        <x:v>Discovery append</x:v>
      </x:c>
      <x:c r="N110" s="22"/>
      <x:c r="O110" s="22"/>
      <x:c r="P110" s="22"/>
      <x:c r="Q110" s="22"/>
      <x:c r="R110" s="22"/>
    </x:row>
    <x:row r="111">
      <x:c r="A111" s="22" t="n">
        <x:v>107</x:v>
      </x:c>
      <x:c r="B111" s="22"/>
      <x:c r="C111" s="22"/>
      <x:c r="D111" s="22"/>
      <x:c r="E111" s="22"/>
      <x:c r="F111" s="22"/>
      <x:c r="G111" s="22"/>
      <x:c r="H111" s="22"/>
      <x:c r="I111" s="22"/>
      <x:c r="J111" s="22"/>
      <x:c r="K111" s="22"/>
      <x:c r="L111" s="22"/>
      <x:c r="M111" s="22" t="str">
        <x:v>Discovery append</x:v>
      </x:c>
      <x:c r="N111" s="22"/>
      <x:c r="O111" s="22"/>
      <x:c r="P111" s="22"/>
      <x:c r="Q111" s="22"/>
      <x:c r="R111" s="22"/>
    </x:row>
    <x:row r="112">
      <x:c r="A112" s="22" t="n">
        <x:v>108</x:v>
      </x:c>
      <x:c r="B112" s="22"/>
      <x:c r="C112" s="22"/>
      <x:c r="D112" s="22"/>
      <x:c r="E112" s="22"/>
      <x:c r="F112" s="22"/>
      <x:c r="G112" s="22"/>
      <x:c r="H112" s="22"/>
      <x:c r="I112" s="22"/>
      <x:c r="J112" s="22"/>
      <x:c r="K112" s="22"/>
      <x:c r="L112" s="22"/>
      <x:c r="M112" s="22" t="str">
        <x:v>Discovery append</x:v>
      </x:c>
      <x:c r="N112" s="22"/>
      <x:c r="O112" s="22"/>
      <x:c r="P112" s="22"/>
      <x:c r="Q112" s="22"/>
      <x:c r="R112" s="22"/>
    </x:row>
    <x:row r="113">
      <x:c r="A113" s="22" t="n">
        <x:v>109</x:v>
      </x:c>
      <x:c r="B113" s="22"/>
      <x:c r="C113" s="22"/>
      <x:c r="D113" s="22"/>
      <x:c r="E113" s="22"/>
      <x:c r="F113" s="22"/>
      <x:c r="G113" s="22"/>
      <x:c r="H113" s="22"/>
      <x:c r="I113" s="22"/>
      <x:c r="J113" s="22"/>
      <x:c r="K113" s="22"/>
      <x:c r="L113" s="22"/>
      <x:c r="M113" s="22" t="str">
        <x:v>Discovery append</x:v>
      </x:c>
      <x:c r="N113" s="22"/>
      <x:c r="O113" s="22"/>
      <x:c r="P113" s="22"/>
      <x:c r="Q113" s="22"/>
      <x:c r="R113" s="22"/>
    </x:row>
    <x:row r="114">
      <x:c r="A114" s="22" t="n">
        <x:v>110</x:v>
      </x:c>
      <x:c r="B114" s="22"/>
      <x:c r="C114" s="22"/>
      <x:c r="D114" s="22"/>
      <x:c r="E114" s="22"/>
      <x:c r="F114" s="22"/>
      <x:c r="G114" s="22"/>
      <x:c r="H114" s="22"/>
      <x:c r="I114" s="22"/>
      <x:c r="J114" s="22"/>
      <x:c r="K114" s="22"/>
      <x:c r="L114" s="22"/>
      <x:c r="M114" s="22" t="str">
        <x:v>Discovery append</x:v>
      </x:c>
      <x:c r="N114" s="22"/>
      <x:c r="O114" s="22"/>
      <x:c r="P114" s="22"/>
      <x:c r="Q114" s="22"/>
      <x:c r="R114" s="22"/>
    </x:row>
    <x:row r="115">
      <x:c r="A115" s="22" t="n">
        <x:v>111</x:v>
      </x:c>
      <x:c r="B115" s="22"/>
      <x:c r="C115" s="22"/>
      <x:c r="D115" s="22"/>
      <x:c r="E115" s="22"/>
      <x:c r="F115" s="22"/>
      <x:c r="G115" s="22"/>
      <x:c r="H115" s="22"/>
      <x:c r="I115" s="22"/>
      <x:c r="J115" s="22"/>
      <x:c r="K115" s="22"/>
      <x:c r="L115" s="22"/>
      <x:c r="M115" s="22" t="str">
        <x:v>Discovery append</x:v>
      </x:c>
      <x:c r="N115" s="22"/>
      <x:c r="O115" s="22"/>
      <x:c r="P115" s="22"/>
      <x:c r="Q115" s="22"/>
      <x:c r="R115" s="22"/>
    </x:row>
    <x:row r="116">
      <x:c r="A116" s="22" t="n">
        <x:v>112</x:v>
      </x:c>
      <x:c r="B116" s="22"/>
      <x:c r="C116" s="22"/>
      <x:c r="D116" s="22"/>
      <x:c r="E116" s="22"/>
      <x:c r="F116" s="22"/>
      <x:c r="G116" s="22"/>
      <x:c r="H116" s="22"/>
      <x:c r="I116" s="22"/>
      <x:c r="J116" s="22"/>
      <x:c r="K116" s="22"/>
      <x:c r="L116" s="22"/>
      <x:c r="M116" s="22" t="str">
        <x:v>Discovery append</x:v>
      </x:c>
      <x:c r="N116" s="22"/>
      <x:c r="O116" s="22"/>
      <x:c r="P116" s="22"/>
      <x:c r="Q116" s="22"/>
      <x:c r="R116" s="22"/>
    </x:row>
    <x:row r="117">
      <x:c r="A117" s="22" t="n">
        <x:v>113</x:v>
      </x:c>
      <x:c r="B117" s="22"/>
      <x:c r="C117" s="22"/>
      <x:c r="D117" s="22"/>
      <x:c r="E117" s="22"/>
      <x:c r="F117" s="22"/>
      <x:c r="G117" s="22"/>
      <x:c r="H117" s="22"/>
      <x:c r="I117" s="22"/>
      <x:c r="J117" s="22"/>
      <x:c r="K117" s="22"/>
      <x:c r="L117" s="22"/>
      <x:c r="M117" s="22" t="str">
        <x:v>Discovery append</x:v>
      </x:c>
      <x:c r="N117" s="22"/>
      <x:c r="O117" s="22"/>
      <x:c r="P117" s="22"/>
      <x:c r="Q117" s="22"/>
      <x:c r="R117" s="22"/>
    </x:row>
    <x:row r="118">
      <x:c r="A118" s="22" t="n">
        <x:v>114</x:v>
      </x:c>
      <x:c r="B118" s="22"/>
      <x:c r="C118" s="22"/>
      <x:c r="D118" s="22"/>
      <x:c r="E118" s="22"/>
      <x:c r="F118" s="22"/>
      <x:c r="G118" s="22"/>
      <x:c r="H118" s="22"/>
      <x:c r="I118" s="22"/>
      <x:c r="J118" s="22"/>
      <x:c r="K118" s="22"/>
      <x:c r="L118" s="22"/>
      <x:c r="M118" s="22" t="str">
        <x:v>Discovery append</x:v>
      </x:c>
      <x:c r="N118" s="22"/>
      <x:c r="O118" s="22"/>
      <x:c r="P118" s="22"/>
      <x:c r="Q118" s="22"/>
      <x:c r="R118" s="22"/>
    </x:row>
    <x:row r="119">
      <x:c r="A119" s="22" t="n">
        <x:v>115</x:v>
      </x:c>
      <x:c r="B119" s="22"/>
      <x:c r="C119" s="22"/>
      <x:c r="D119" s="22"/>
      <x:c r="E119" s="22"/>
      <x:c r="F119" s="22"/>
      <x:c r="G119" s="22"/>
      <x:c r="H119" s="22"/>
      <x:c r="I119" s="22"/>
      <x:c r="J119" s="22"/>
      <x:c r="K119" s="22"/>
      <x:c r="L119" s="22"/>
      <x:c r="M119" s="22" t="str">
        <x:v>Discovery append</x:v>
      </x:c>
      <x:c r="N119" s="22"/>
      <x:c r="O119" s="22"/>
      <x:c r="P119" s="22"/>
      <x:c r="Q119" s="22"/>
      <x:c r="R119" s="22"/>
    </x:row>
    <x:row r="120">
      <x:c r="A120" s="22" t="n">
        <x:v>116</x:v>
      </x:c>
      <x:c r="B120" s="22"/>
      <x:c r="C120" s="22"/>
      <x:c r="D120" s="22"/>
      <x:c r="E120" s="22"/>
      <x:c r="F120" s="22"/>
      <x:c r="G120" s="22"/>
      <x:c r="H120" s="22"/>
      <x:c r="I120" s="22"/>
      <x:c r="J120" s="22"/>
      <x:c r="K120" s="22"/>
      <x:c r="L120" s="22"/>
      <x:c r="M120" s="22" t="str">
        <x:v>Discovery append</x:v>
      </x:c>
      <x:c r="N120" s="22"/>
      <x:c r="O120" s="22"/>
      <x:c r="P120" s="22"/>
      <x:c r="Q120" s="22"/>
      <x:c r="R120" s="22"/>
    </x:row>
    <x:row r="121">
      <x:c r="A121" s="22" t="n">
        <x:v>117</x:v>
      </x:c>
      <x:c r="B121" s="22"/>
      <x:c r="C121" s="22"/>
      <x:c r="D121" s="22"/>
      <x:c r="E121" s="22"/>
      <x:c r="F121" s="22"/>
      <x:c r="G121" s="22"/>
      <x:c r="H121" s="22"/>
      <x:c r="I121" s="22"/>
      <x:c r="J121" s="22"/>
      <x:c r="K121" s="22"/>
      <x:c r="L121" s="22"/>
      <x:c r="M121" s="22" t="str">
        <x:v>Discovery append</x:v>
      </x:c>
      <x:c r="N121" s="22"/>
      <x:c r="O121" s="22"/>
      <x:c r="P121" s="22"/>
      <x:c r="Q121" s="22"/>
      <x:c r="R121" s="22"/>
    </x:row>
    <x:row r="122">
      <x:c r="A122" s="22" t="n">
        <x:v>118</x:v>
      </x:c>
      <x:c r="B122" s="22"/>
      <x:c r="C122" s="22"/>
      <x:c r="D122" s="22"/>
      <x:c r="E122" s="22"/>
      <x:c r="F122" s="22"/>
      <x:c r="G122" s="22"/>
      <x:c r="H122" s="22"/>
      <x:c r="I122" s="22"/>
      <x:c r="J122" s="22"/>
      <x:c r="K122" s="22"/>
      <x:c r="L122" s="22"/>
      <x:c r="M122" s="22" t="str">
        <x:v>Discovery append</x:v>
      </x:c>
      <x:c r="N122" s="22"/>
      <x:c r="O122" s="22"/>
      <x:c r="P122" s="22"/>
      <x:c r="Q122" s="22"/>
      <x:c r="R122" s="22"/>
    </x:row>
    <x:row r="123">
      <x:c r="A123" s="22" t="n">
        <x:v>119</x:v>
      </x:c>
      <x:c r="B123" s="22"/>
      <x:c r="C123" s="22"/>
      <x:c r="D123" s="22"/>
      <x:c r="E123" s="22"/>
      <x:c r="F123" s="22"/>
      <x:c r="G123" s="22"/>
      <x:c r="H123" s="22"/>
      <x:c r="I123" s="22"/>
      <x:c r="J123" s="22"/>
      <x:c r="K123" s="22"/>
      <x:c r="L123" s="22"/>
      <x:c r="M123" s="22" t="str">
        <x:v>Discovery append</x:v>
      </x:c>
      <x:c r="N123" s="22"/>
      <x:c r="O123" s="22"/>
      <x:c r="P123" s="22"/>
      <x:c r="Q123" s="22"/>
      <x:c r="R123" s="22"/>
    </x:row>
    <x:row r="124">
      <x:c r="A124" s="22" t="n">
        <x:v>120</x:v>
      </x:c>
      <x:c r="B124" s="22"/>
      <x:c r="C124" s="22"/>
      <x:c r="D124" s="22"/>
      <x:c r="E124" s="22"/>
      <x:c r="F124" s="22"/>
      <x:c r="G124" s="22"/>
      <x:c r="H124" s="22"/>
      <x:c r="I124" s="22"/>
      <x:c r="J124" s="22"/>
      <x:c r="K124" s="22"/>
      <x:c r="L124" s="22"/>
      <x:c r="M124" s="22" t="str">
        <x:v>Discovery append</x:v>
      </x:c>
      <x:c r="N124" s="22"/>
      <x:c r="O124" s="22"/>
      <x:c r="P124" s="22"/>
      <x:c r="Q124" s="22"/>
      <x:c r="R124" s="22"/>
    </x:row>
    <x:row r="125">
      <x:c r="A125" s="22" t="n">
        <x:v>121</x:v>
      </x:c>
      <x:c r="B125" s="22"/>
      <x:c r="C125" s="22"/>
      <x:c r="D125" s="22"/>
      <x:c r="E125" s="22"/>
      <x:c r="F125" s="22"/>
      <x:c r="G125" s="22"/>
      <x:c r="H125" s="22"/>
      <x:c r="I125" s="22"/>
      <x:c r="J125" s="22"/>
      <x:c r="K125" s="22"/>
      <x:c r="L125" s="22"/>
      <x:c r="M125" s="22" t="str">
        <x:v>Discovery append</x:v>
      </x:c>
      <x:c r="N125" s="22"/>
      <x:c r="O125" s="22"/>
      <x:c r="P125" s="22"/>
      <x:c r="Q125" s="22"/>
      <x:c r="R125" s="22"/>
    </x:row>
    <x:row r="126">
      <x:c r="A126" s="22" t="n">
        <x:v>122</x:v>
      </x:c>
      <x:c r="B126" s="22"/>
      <x:c r="C126" s="22"/>
      <x:c r="D126" s="22"/>
      <x:c r="E126" s="22"/>
      <x:c r="F126" s="22"/>
      <x:c r="G126" s="22"/>
      <x:c r="H126" s="22"/>
      <x:c r="I126" s="22"/>
      <x:c r="J126" s="22"/>
      <x:c r="K126" s="22"/>
      <x:c r="L126" s="22"/>
      <x:c r="M126" s="22" t="str">
        <x:v>Discovery append</x:v>
      </x:c>
      <x:c r="N126" s="22"/>
      <x:c r="O126" s="22"/>
      <x:c r="P126" s="22"/>
      <x:c r="Q126" s="22"/>
      <x:c r="R126" s="22"/>
    </x:row>
    <x:row r="127">
      <x:c r="A127" s="22" t="n">
        <x:v>123</x:v>
      </x:c>
      <x:c r="B127" s="22"/>
      <x:c r="C127" s="22"/>
      <x:c r="D127" s="22"/>
      <x:c r="E127" s="22"/>
      <x:c r="F127" s="22"/>
      <x:c r="G127" s="22"/>
      <x:c r="H127" s="22"/>
      <x:c r="I127" s="22"/>
      <x:c r="J127" s="22"/>
      <x:c r="K127" s="22"/>
      <x:c r="L127" s="22"/>
      <x:c r="M127" s="22" t="str">
        <x:v>Discovery append</x:v>
      </x:c>
      <x:c r="N127" s="22"/>
      <x:c r="O127" s="22"/>
      <x:c r="P127" s="22"/>
      <x:c r="Q127" s="22"/>
      <x:c r="R127" s="22"/>
    </x:row>
    <x:row r="128">
      <x:c r="A128" s="22" t="n">
        <x:v>124</x:v>
      </x:c>
      <x:c r="B128" s="22"/>
      <x:c r="C128" s="22"/>
      <x:c r="D128" s="22"/>
      <x:c r="E128" s="22"/>
      <x:c r="F128" s="22"/>
      <x:c r="G128" s="22"/>
      <x:c r="H128" s="22"/>
      <x:c r="I128" s="22"/>
      <x:c r="J128" s="22"/>
      <x:c r="K128" s="22"/>
      <x:c r="L128" s="22"/>
      <x:c r="M128" s="22" t="str">
        <x:v>Discovery append</x:v>
      </x:c>
      <x:c r="N128" s="22"/>
      <x:c r="O128" s="22"/>
      <x:c r="P128" s="22"/>
      <x:c r="Q128" s="22"/>
      <x:c r="R128" s="22"/>
    </x:row>
    <x:row r="129">
      <x:c r="A129" s="22" t="n">
        <x:v>125</x:v>
      </x:c>
      <x:c r="B129" s="22"/>
      <x:c r="C129" s="22"/>
      <x:c r="D129" s="22"/>
      <x:c r="E129" s="22"/>
      <x:c r="F129" s="22"/>
      <x:c r="G129" s="22"/>
      <x:c r="H129" s="22"/>
      <x:c r="I129" s="22"/>
      <x:c r="J129" s="22"/>
      <x:c r="K129" s="22"/>
      <x:c r="L129" s="22"/>
      <x:c r="M129" s="22" t="str">
        <x:v>Discovery append</x:v>
      </x:c>
      <x:c r="N129" s="22"/>
      <x:c r="O129" s="22"/>
      <x:c r="P129" s="22"/>
      <x:c r="Q129" s="22"/>
      <x:c r="R129" s="22"/>
    </x:row>
    <x:row r="130">
      <x:c r="A130" s="22" t="n">
        <x:v>126</x:v>
      </x:c>
      <x:c r="B130" s="22"/>
      <x:c r="C130" s="22"/>
      <x:c r="D130" s="22"/>
      <x:c r="E130" s="22"/>
      <x:c r="F130" s="22"/>
      <x:c r="G130" s="22"/>
      <x:c r="H130" s="22"/>
      <x:c r="I130" s="22"/>
      <x:c r="J130" s="22"/>
      <x:c r="K130" s="22"/>
      <x:c r="L130" s="22"/>
      <x:c r="M130" s="22" t="str">
        <x:v>Discovery append</x:v>
      </x:c>
      <x:c r="N130" s="22"/>
      <x:c r="O130" s="22"/>
      <x:c r="P130" s="22"/>
      <x:c r="Q130" s="22"/>
      <x:c r="R130" s="22"/>
    </x:row>
    <x:row r="131">
      <x:c r="A131" s="22" t="n">
        <x:v>127</x:v>
      </x:c>
      <x:c r="B131" s="22"/>
      <x:c r="C131" s="22"/>
      <x:c r="D131" s="22"/>
      <x:c r="E131" s="22"/>
      <x:c r="F131" s="22"/>
      <x:c r="G131" s="22"/>
      <x:c r="H131" s="22"/>
      <x:c r="I131" s="22"/>
      <x:c r="J131" s="22"/>
      <x:c r="K131" s="22"/>
      <x:c r="L131" s="22"/>
      <x:c r="M131" s="22" t="str">
        <x:v>Discovery append</x:v>
      </x:c>
      <x:c r="N131" s="22"/>
      <x:c r="O131" s="22"/>
      <x:c r="P131" s="22"/>
      <x:c r="Q131" s="22"/>
      <x:c r="R131" s="22"/>
    </x:row>
    <x:row r="132">
      <x:c r="A132" s="22" t="n">
        <x:v>128</x:v>
      </x:c>
      <x:c r="B132" s="22"/>
      <x:c r="C132" s="22"/>
      <x:c r="D132" s="22"/>
      <x:c r="E132" s="22"/>
      <x:c r="F132" s="22"/>
      <x:c r="G132" s="22"/>
      <x:c r="H132" s="22"/>
      <x:c r="I132" s="22"/>
      <x:c r="J132" s="22"/>
      <x:c r="K132" s="22"/>
      <x:c r="L132" s="22"/>
      <x:c r="M132" s="22" t="str">
        <x:v>Discovery append</x:v>
      </x:c>
      <x:c r="N132" s="22"/>
      <x:c r="O132" s="22"/>
      <x:c r="P132" s="22"/>
      <x:c r="Q132" s="22"/>
      <x:c r="R132" s="22"/>
    </x:row>
    <x:row r="133">
      <x:c r="A133" s="22" t="n">
        <x:v>129</x:v>
      </x:c>
      <x:c r="B133" s="22"/>
      <x:c r="C133" s="22"/>
      <x:c r="D133" s="22"/>
      <x:c r="E133" s="22"/>
      <x:c r="F133" s="22"/>
      <x:c r="G133" s="22"/>
      <x:c r="H133" s="22"/>
      <x:c r="I133" s="22"/>
      <x:c r="J133" s="22"/>
      <x:c r="K133" s="22"/>
      <x:c r="L133" s="22"/>
      <x:c r="M133" s="22" t="str">
        <x:v>Discovery append</x:v>
      </x:c>
      <x:c r="N133" s="22"/>
      <x:c r="O133" s="22"/>
      <x:c r="P133" s="22"/>
      <x:c r="Q133" s="22"/>
      <x:c r="R133" s="22"/>
    </x:row>
    <x:row r="134">
      <x:c r="A134" s="22" t="n">
        <x:v>130</x:v>
      </x:c>
      <x:c r="B134" s="22"/>
      <x:c r="C134" s="22"/>
      <x:c r="D134" s="22"/>
      <x:c r="E134" s="22"/>
      <x:c r="F134" s="22"/>
      <x:c r="G134" s="22"/>
      <x:c r="H134" s="22"/>
      <x:c r="I134" s="22"/>
      <x:c r="J134" s="22"/>
      <x:c r="K134" s="22"/>
      <x:c r="L134" s="22"/>
      <x:c r="M134" s="22" t="str">
        <x:v>Discovery append</x:v>
      </x:c>
      <x:c r="N134" s="22"/>
      <x:c r="O134" s="22"/>
      <x:c r="P134" s="22"/>
      <x:c r="Q134" s="22"/>
      <x:c r="R134" s="22"/>
    </x:row>
    <x:row r="135">
      <x:c r="A135" s="22" t="n">
        <x:v>131</x:v>
      </x:c>
      <x:c r="B135" s="22"/>
      <x:c r="C135" s="22"/>
      <x:c r="D135" s="22"/>
      <x:c r="E135" s="22"/>
      <x:c r="F135" s="22"/>
      <x:c r="G135" s="22"/>
      <x:c r="H135" s="22"/>
      <x:c r="I135" s="22"/>
      <x:c r="J135" s="22"/>
      <x:c r="K135" s="22"/>
      <x:c r="L135" s="22"/>
      <x:c r="M135" s="22" t="str">
        <x:v>Discovery append</x:v>
      </x:c>
      <x:c r="N135" s="22"/>
      <x:c r="O135" s="22"/>
      <x:c r="P135" s="22"/>
      <x:c r="Q135" s="22"/>
      <x:c r="R135" s="22"/>
    </x:row>
    <x:row r="136">
      <x:c r="A136" s="22" t="n">
        <x:v>132</x:v>
      </x:c>
      <x:c r="B136" s="22"/>
      <x:c r="C136" s="22"/>
      <x:c r="D136" s="22"/>
      <x:c r="E136" s="22"/>
      <x:c r="F136" s="22"/>
      <x:c r="G136" s="22"/>
      <x:c r="H136" s="22"/>
      <x:c r="I136" s="22"/>
      <x:c r="J136" s="22"/>
      <x:c r="K136" s="22"/>
      <x:c r="L136" s="22"/>
      <x:c r="M136" s="22" t="str">
        <x:v>Discovery append</x:v>
      </x:c>
      <x:c r="N136" s="22"/>
      <x:c r="O136" s="22"/>
      <x:c r="P136" s="22"/>
      <x:c r="Q136" s="22"/>
      <x:c r="R136" s="22"/>
    </x:row>
    <x:row r="137">
      <x:c r="A137" s="22" t="n">
        <x:v>133</x:v>
      </x:c>
      <x:c r="B137" s="22"/>
      <x:c r="C137" s="22"/>
      <x:c r="D137" s="22"/>
      <x:c r="E137" s="22"/>
      <x:c r="F137" s="22"/>
      <x:c r="G137" s="22"/>
      <x:c r="H137" s="22"/>
      <x:c r="I137" s="22"/>
      <x:c r="J137" s="22"/>
      <x:c r="K137" s="22"/>
      <x:c r="L137" s="22"/>
      <x:c r="M137" s="22" t="str">
        <x:v>Discovery append</x:v>
      </x:c>
      <x:c r="N137" s="22"/>
      <x:c r="O137" s="22"/>
      <x:c r="P137" s="22"/>
      <x:c r="Q137" s="22"/>
      <x:c r="R137" s="22"/>
    </x:row>
    <x:row r="138">
      <x:c r="A138" s="22" t="n">
        <x:v>134</x:v>
      </x:c>
      <x:c r="B138" s="22"/>
      <x:c r="C138" s="22"/>
      <x:c r="D138" s="22"/>
      <x:c r="E138" s="22"/>
      <x:c r="F138" s="22"/>
      <x:c r="G138" s="22"/>
      <x:c r="H138" s="22"/>
      <x:c r="I138" s="22"/>
      <x:c r="J138" s="22"/>
      <x:c r="K138" s="22"/>
      <x:c r="L138" s="22"/>
      <x:c r="M138" s="22" t="str">
        <x:v>Discovery append</x:v>
      </x:c>
      <x:c r="N138" s="22"/>
      <x:c r="O138" s="22"/>
      <x:c r="P138" s="22"/>
      <x:c r="Q138" s="22"/>
      <x:c r="R138" s="22"/>
    </x:row>
    <x:row r="139">
      <x:c r="A139" s="22" t="n">
        <x:v>135</x:v>
      </x:c>
      <x:c r="B139" s="22"/>
      <x:c r="C139" s="22"/>
      <x:c r="D139" s="22"/>
      <x:c r="E139" s="22"/>
      <x:c r="F139" s="22"/>
      <x:c r="G139" s="22"/>
      <x:c r="H139" s="22"/>
      <x:c r="I139" s="22"/>
      <x:c r="J139" s="22"/>
      <x:c r="K139" s="22"/>
      <x:c r="L139" s="22"/>
      <x:c r="M139" s="22" t="str">
        <x:v>Discovery append</x:v>
      </x:c>
      <x:c r="N139" s="22"/>
      <x:c r="O139" s="22"/>
      <x:c r="P139" s="22"/>
      <x:c r="Q139" s="22"/>
      <x:c r="R139" s="22"/>
    </x:row>
    <x:row r="140">
      <x:c r="A140" s="22" t="n">
        <x:v>136</x:v>
      </x:c>
      <x:c r="B140" s="22"/>
      <x:c r="C140" s="22"/>
      <x:c r="D140" s="22"/>
      <x:c r="E140" s="22"/>
      <x:c r="F140" s="22"/>
      <x:c r="G140" s="22"/>
      <x:c r="H140" s="22"/>
      <x:c r="I140" s="22"/>
      <x:c r="J140" s="22"/>
      <x:c r="K140" s="22"/>
      <x:c r="L140" s="22"/>
      <x:c r="M140" s="22" t="str">
        <x:v>Discovery append</x:v>
      </x:c>
      <x:c r="N140" s="22"/>
      <x:c r="O140" s="22"/>
      <x:c r="P140" s="22"/>
      <x:c r="Q140" s="22"/>
      <x:c r="R140" s="22"/>
    </x:row>
    <x:row r="141">
      <x:c r="A141" s="22" t="n">
        <x:v>137</x:v>
      </x:c>
      <x:c r="B141" s="22"/>
      <x:c r="C141" s="22"/>
      <x:c r="D141" s="22"/>
      <x:c r="E141" s="22"/>
      <x:c r="F141" s="22"/>
      <x:c r="G141" s="22"/>
      <x:c r="H141" s="22"/>
      <x:c r="I141" s="22"/>
      <x:c r="J141" s="22"/>
      <x:c r="K141" s="22"/>
      <x:c r="L141" s="22"/>
      <x:c r="M141" s="22" t="str">
        <x:v>Discovery append</x:v>
      </x:c>
      <x:c r="N141" s="22"/>
      <x:c r="O141" s="22"/>
      <x:c r="P141" s="22"/>
      <x:c r="Q141" s="22"/>
      <x:c r="R141" s="22"/>
    </x:row>
    <x:row r="142">
      <x:c r="A142" s="22" t="n">
        <x:v>138</x:v>
      </x:c>
      <x:c r="B142" s="22"/>
      <x:c r="C142" s="22"/>
      <x:c r="D142" s="22"/>
      <x:c r="E142" s="22"/>
      <x:c r="F142" s="22"/>
      <x:c r="G142" s="22"/>
      <x:c r="H142" s="22"/>
      <x:c r="I142" s="22"/>
      <x:c r="J142" s="22"/>
      <x:c r="K142" s="22"/>
      <x:c r="L142" s="22"/>
      <x:c r="M142" s="22" t="str">
        <x:v>Discovery append</x:v>
      </x:c>
      <x:c r="N142" s="22"/>
      <x:c r="O142" s="22"/>
      <x:c r="P142" s="22"/>
      <x:c r="Q142" s="22"/>
      <x:c r="R142" s="22"/>
    </x:row>
    <x:row r="143">
      <x:c r="A143" s="22" t="n">
        <x:v>139</x:v>
      </x:c>
      <x:c r="B143" s="22"/>
      <x:c r="C143" s="22"/>
      <x:c r="D143" s="22"/>
      <x:c r="E143" s="22"/>
      <x:c r="F143" s="22"/>
      <x:c r="G143" s="22"/>
      <x:c r="H143" s="22"/>
      <x:c r="I143" s="22"/>
      <x:c r="J143" s="22"/>
      <x:c r="K143" s="22"/>
      <x:c r="L143" s="22"/>
      <x:c r="M143" s="22" t="str">
        <x:v>Discovery append</x:v>
      </x:c>
      <x:c r="N143" s="22"/>
      <x:c r="O143" s="22"/>
      <x:c r="P143" s="22"/>
      <x:c r="Q143" s="22"/>
      <x:c r="R143" s="22"/>
    </x:row>
    <x:row r="144">
      <x:c r="A144" s="22" t="n">
        <x:v>140</x:v>
      </x:c>
      <x:c r="B144" s="22"/>
      <x:c r="C144" s="22"/>
      <x:c r="D144" s="22"/>
      <x:c r="E144" s="22"/>
      <x:c r="F144" s="22"/>
      <x:c r="G144" s="22"/>
      <x:c r="H144" s="22"/>
      <x:c r="I144" s="22"/>
      <x:c r="J144" s="22"/>
      <x:c r="K144" s="22"/>
      <x:c r="L144" s="22"/>
      <x:c r="M144" s="22" t="str">
        <x:v>Discovery append</x:v>
      </x:c>
      <x:c r="N144" s="22"/>
      <x:c r="O144" s="22"/>
      <x:c r="P144" s="22"/>
      <x:c r="Q144" s="22"/>
      <x:c r="R144" s="22"/>
    </x:row>
    <x:row r="145">
      <x:c r="A145" s="22" t="n">
        <x:v>141</x:v>
      </x:c>
      <x:c r="B145" s="22"/>
      <x:c r="C145" s="22"/>
      <x:c r="D145" s="22"/>
      <x:c r="E145" s="22"/>
      <x:c r="F145" s="22"/>
      <x:c r="G145" s="22"/>
      <x:c r="H145" s="22"/>
      <x:c r="I145" s="22"/>
      <x:c r="J145" s="22"/>
      <x:c r="K145" s="22"/>
      <x:c r="L145" s="22"/>
      <x:c r="M145" s="22" t="str">
        <x:v>Discovery append</x:v>
      </x:c>
      <x:c r="N145" s="22"/>
      <x:c r="O145" s="22"/>
      <x:c r="P145" s="22"/>
      <x:c r="Q145" s="22"/>
      <x:c r="R145" s="22"/>
    </x:row>
    <x:row r="146">
      <x:c r="A146" s="22" t="n">
        <x:v>142</x:v>
      </x:c>
      <x:c r="B146" s="22"/>
      <x:c r="C146" s="22"/>
      <x:c r="D146" s="22"/>
      <x:c r="E146" s="22"/>
      <x:c r="F146" s="22"/>
      <x:c r="G146" s="22"/>
      <x:c r="H146" s="22"/>
      <x:c r="I146" s="22"/>
      <x:c r="J146" s="22"/>
      <x:c r="K146" s="22"/>
      <x:c r="L146" s="22"/>
      <x:c r="M146" s="22" t="str">
        <x:v>Discovery append</x:v>
      </x:c>
      <x:c r="N146" s="22"/>
      <x:c r="O146" s="22"/>
      <x:c r="P146" s="22"/>
      <x:c r="Q146" s="22"/>
      <x:c r="R146" s="22"/>
    </x:row>
    <x:row r="147">
      <x:c r="A147" s="22" t="n">
        <x:v>143</x:v>
      </x:c>
      <x:c r="B147" s="22"/>
      <x:c r="C147" s="22"/>
      <x:c r="D147" s="22"/>
      <x:c r="E147" s="22"/>
      <x:c r="F147" s="22"/>
      <x:c r="G147" s="22"/>
      <x:c r="H147" s="22"/>
      <x:c r="I147" s="22"/>
      <x:c r="J147" s="22"/>
      <x:c r="K147" s="22"/>
      <x:c r="L147" s="22"/>
      <x:c r="M147" s="22" t="str">
        <x:v>Discovery append</x:v>
      </x:c>
      <x:c r="N147" s="22"/>
      <x:c r="O147" s="22"/>
      <x:c r="P147" s="22"/>
      <x:c r="Q147" s="22"/>
      <x:c r="R147" s="22"/>
    </x:row>
    <x:row r="148">
      <x:c r="A148" s="22" t="n">
        <x:v>144</x:v>
      </x:c>
      <x:c r="B148" s="22"/>
      <x:c r="C148" s="22"/>
      <x:c r="D148" s="22"/>
      <x:c r="E148" s="22"/>
      <x:c r="F148" s="22"/>
      <x:c r="G148" s="22"/>
      <x:c r="H148" s="22"/>
      <x:c r="I148" s="22"/>
      <x:c r="J148" s="22"/>
      <x:c r="K148" s="22"/>
      <x:c r="L148" s="22"/>
      <x:c r="M148" s="22" t="str">
        <x:v>Discovery append</x:v>
      </x:c>
      <x:c r="N148" s="22"/>
      <x:c r="O148" s="22"/>
      <x:c r="P148" s="22"/>
      <x:c r="Q148" s="22"/>
      <x:c r="R148" s="22"/>
    </x:row>
    <x:row r="149">
      <x:c r="A149" s="22" t="n">
        <x:v>145</x:v>
      </x:c>
      <x:c r="B149" s="22"/>
      <x:c r="C149" s="22"/>
      <x:c r="D149" s="22"/>
      <x:c r="E149" s="22"/>
      <x:c r="F149" s="22"/>
      <x:c r="G149" s="22"/>
      <x:c r="H149" s="22"/>
      <x:c r="I149" s="22"/>
      <x:c r="J149" s="22"/>
      <x:c r="K149" s="22"/>
      <x:c r="L149" s="22"/>
      <x:c r="M149" s="22" t="str">
        <x:v>Discovery append</x:v>
      </x:c>
      <x:c r="N149" s="22"/>
      <x:c r="O149" s="22"/>
      <x:c r="P149" s="22"/>
      <x:c r="Q149" s="22"/>
      <x:c r="R149" s="22"/>
    </x:row>
    <x:row r="150">
      <x:c r="A150" s="22" t="n">
        <x:v>146</x:v>
      </x:c>
      <x:c r="B150" s="22"/>
      <x:c r="C150" s="22"/>
      <x:c r="D150" s="22"/>
      <x:c r="E150" s="22"/>
      <x:c r="F150" s="22"/>
      <x:c r="G150" s="22"/>
      <x:c r="H150" s="22"/>
      <x:c r="I150" s="22"/>
      <x:c r="J150" s="22"/>
      <x:c r="K150" s="22"/>
      <x:c r="L150" s="22"/>
      <x:c r="M150" s="22" t="str">
        <x:v>Discovery append</x:v>
      </x:c>
      <x:c r="N150" s="22"/>
      <x:c r="O150" s="22"/>
      <x:c r="P150" s="22"/>
      <x:c r="Q150" s="22"/>
      <x:c r="R150" s="22"/>
    </x:row>
    <x:row r="151">
      <x:c r="A151" s="22" t="n">
        <x:v>147</x:v>
      </x:c>
      <x:c r="B151" s="22"/>
      <x:c r="C151" s="22"/>
      <x:c r="D151" s="22"/>
      <x:c r="E151" s="22"/>
      <x:c r="F151" s="22"/>
      <x:c r="G151" s="22"/>
      <x:c r="H151" s="22"/>
      <x:c r="I151" s="22"/>
      <x:c r="J151" s="22"/>
      <x:c r="K151" s="22"/>
      <x:c r="L151" s="22"/>
      <x:c r="M151" s="22" t="str">
        <x:v>Discovery append</x:v>
      </x:c>
      <x:c r="N151" s="22"/>
      <x:c r="O151" s="22"/>
      <x:c r="P151" s="22"/>
      <x:c r="Q151" s="22"/>
      <x:c r="R151" s="22"/>
    </x:row>
    <x:row r="152">
      <x:c r="A152" s="22" t="n">
        <x:v>148</x:v>
      </x:c>
      <x:c r="B152" s="22"/>
      <x:c r="C152" s="22"/>
      <x:c r="D152" s="22"/>
      <x:c r="E152" s="22"/>
      <x:c r="F152" s="22"/>
      <x:c r="G152" s="22"/>
      <x:c r="H152" s="22"/>
      <x:c r="I152" s="22"/>
      <x:c r="J152" s="22"/>
      <x:c r="K152" s="22"/>
      <x:c r="L152" s="22"/>
      <x:c r="M152" s="22" t="str">
        <x:v>Discovery append</x:v>
      </x:c>
      <x:c r="N152" s="22"/>
      <x:c r="O152" s="22"/>
      <x:c r="P152" s="22"/>
      <x:c r="Q152" s="22"/>
      <x:c r="R152" s="22"/>
    </x:row>
    <x:row r="153">
      <x:c r="A153" s="22" t="n">
        <x:v>149</x:v>
      </x:c>
      <x:c r="B153" s="22"/>
      <x:c r="C153" s="22"/>
      <x:c r="D153" s="22"/>
      <x:c r="E153" s="22"/>
      <x:c r="F153" s="22"/>
      <x:c r="G153" s="22"/>
      <x:c r="H153" s="22"/>
      <x:c r="I153" s="22"/>
      <x:c r="J153" s="22"/>
      <x:c r="K153" s="22"/>
      <x:c r="L153" s="22"/>
      <x:c r="M153" s="22" t="str">
        <x:v>Discovery append</x:v>
      </x:c>
      <x:c r="N153" s="22"/>
      <x:c r="O153" s="22"/>
      <x:c r="P153" s="22"/>
      <x:c r="Q153" s="22"/>
      <x:c r="R153" s="22"/>
    </x:row>
    <x:row r="154">
      <x:c r="A154" s="22" t="n">
        <x:v>150</x:v>
      </x:c>
      <x:c r="B154" s="22"/>
      <x:c r="C154" s="22"/>
      <x:c r="D154" s="22"/>
      <x:c r="E154" s="22"/>
      <x:c r="F154" s="22"/>
      <x:c r="G154" s="22"/>
      <x:c r="H154" s="22"/>
      <x:c r="I154" s="22"/>
      <x:c r="J154" s="22"/>
      <x:c r="K154" s="22"/>
      <x:c r="L154" s="22"/>
      <x:c r="M154" s="22" t="str">
        <x:v>Discovery append</x:v>
      </x:c>
      <x:c r="N154" s="22"/>
      <x:c r="O154" s="22"/>
      <x:c r="P154" s="22"/>
      <x:c r="Q154" s="22"/>
      <x:c r="R154" s="22"/>
    </x:row>
    <x:row r="155">
      <x:c r="A155" s="22" t="n">
        <x:v>151</x:v>
      </x:c>
      <x:c r="B155" s="22"/>
      <x:c r="C155" s="22"/>
      <x:c r="D155" s="22"/>
      <x:c r="E155" s="22"/>
      <x:c r="F155" s="22"/>
      <x:c r="G155" s="22"/>
      <x:c r="H155" s="22"/>
      <x:c r="I155" s="22"/>
      <x:c r="J155" s="22"/>
      <x:c r="K155" s="22"/>
      <x:c r="L155" s="22"/>
      <x:c r="M155" s="22" t="str">
        <x:v>Discovery append</x:v>
      </x:c>
      <x:c r="N155" s="22"/>
      <x:c r="O155" s="22"/>
      <x:c r="P155" s="22"/>
      <x:c r="Q155" s="22"/>
      <x:c r="R155" s="22"/>
    </x:row>
    <x:row r="156">
      <x:c r="A156" s="22" t="n">
        <x:v>152</x:v>
      </x:c>
      <x:c r="B156" s="22"/>
      <x:c r="C156" s="22"/>
      <x:c r="D156" s="22"/>
      <x:c r="E156" s="22"/>
      <x:c r="F156" s="22"/>
      <x:c r="G156" s="22"/>
      <x:c r="H156" s="22"/>
      <x:c r="I156" s="22"/>
      <x:c r="J156" s="22"/>
      <x:c r="K156" s="22"/>
      <x:c r="L156" s="22"/>
      <x:c r="M156" s="22" t="str">
        <x:v>Discovery append</x:v>
      </x:c>
      <x:c r="N156" s="22"/>
      <x:c r="O156" s="22"/>
      <x:c r="P156" s="22"/>
      <x:c r="Q156" s="22"/>
      <x:c r="R156" s="22"/>
    </x:row>
    <x:row r="157">
      <x:c r="A157" s="22" t="n">
        <x:v>153</x:v>
      </x:c>
      <x:c r="B157" s="22"/>
      <x:c r="C157" s="22"/>
      <x:c r="D157" s="22"/>
      <x:c r="E157" s="22"/>
      <x:c r="F157" s="22"/>
      <x:c r="G157" s="22"/>
      <x:c r="H157" s="22"/>
      <x:c r="I157" s="22"/>
      <x:c r="J157" s="22"/>
      <x:c r="K157" s="22"/>
      <x:c r="L157" s="22"/>
      <x:c r="M157" s="22" t="str">
        <x:v>Discovery append</x:v>
      </x:c>
      <x:c r="N157" s="22"/>
      <x:c r="O157" s="22"/>
      <x:c r="P157" s="22"/>
      <x:c r="Q157" s="22"/>
      <x:c r="R157" s="22"/>
    </x:row>
    <x:row r="158">
      <x:c r="A158" s="22" t="n">
        <x:v>154</x:v>
      </x:c>
      <x:c r="B158" s="22"/>
      <x:c r="C158" s="22"/>
      <x:c r="D158" s="22"/>
      <x:c r="E158" s="22"/>
      <x:c r="F158" s="22"/>
      <x:c r="G158" s="22"/>
      <x:c r="H158" s="22"/>
      <x:c r="I158" s="22"/>
      <x:c r="J158" s="22"/>
      <x:c r="K158" s="22"/>
      <x:c r="L158" s="22"/>
      <x:c r="M158" s="22" t="str">
        <x:v>Discovery append</x:v>
      </x:c>
      <x:c r="N158" s="22"/>
      <x:c r="O158" s="22"/>
      <x:c r="P158" s="22"/>
      <x:c r="Q158" s="22"/>
      <x:c r="R158" s="22"/>
    </x:row>
    <x:row r="159">
      <x:c r="A159" s="22" t="n">
        <x:v>155</x:v>
      </x:c>
      <x:c r="B159" s="22"/>
      <x:c r="C159" s="22"/>
      <x:c r="D159" s="22"/>
      <x:c r="E159" s="22"/>
      <x:c r="F159" s="22"/>
      <x:c r="G159" s="22"/>
      <x:c r="H159" s="22"/>
      <x:c r="I159" s="22"/>
      <x:c r="J159" s="22"/>
      <x:c r="K159" s="22"/>
      <x:c r="L159" s="22"/>
      <x:c r="M159" s="22" t="str">
        <x:v>Discovery append</x:v>
      </x:c>
      <x:c r="N159" s="22"/>
      <x:c r="O159" s="22"/>
      <x:c r="P159" s="22"/>
      <x:c r="Q159" s="22"/>
      <x:c r="R159" s="22"/>
    </x:row>
    <x:row r="160">
      <x:c r="A160" s="22" t="n">
        <x:v>156</x:v>
      </x:c>
      <x:c r="B160" s="22"/>
      <x:c r="C160" s="22"/>
      <x:c r="D160" s="22"/>
      <x:c r="E160" s="22"/>
      <x:c r="F160" s="22"/>
      <x:c r="G160" s="22"/>
      <x:c r="H160" s="22"/>
      <x:c r="I160" s="22"/>
      <x:c r="J160" s="22"/>
      <x:c r="K160" s="22"/>
      <x:c r="L160" s="22"/>
      <x:c r="M160" s="22" t="str">
        <x:v>Discovery append</x:v>
      </x:c>
      <x:c r="N160" s="22"/>
      <x:c r="O160" s="22"/>
      <x:c r="P160" s="22"/>
      <x:c r="Q160" s="22"/>
      <x:c r="R160" s="22"/>
    </x:row>
    <x:row r="161">
      <x:c r="A161" s="22" t="n">
        <x:v>157</x:v>
      </x:c>
      <x:c r="B161" s="22"/>
      <x:c r="C161" s="22"/>
      <x:c r="D161" s="22"/>
      <x:c r="E161" s="22"/>
      <x:c r="F161" s="22"/>
      <x:c r="G161" s="22"/>
      <x:c r="H161" s="22"/>
      <x:c r="I161" s="22"/>
      <x:c r="J161" s="22"/>
      <x:c r="K161" s="22"/>
      <x:c r="L161" s="22"/>
      <x:c r="M161" s="22" t="str">
        <x:v>Discovery append</x:v>
      </x:c>
      <x:c r="N161" s="22"/>
      <x:c r="O161" s="22"/>
      <x:c r="P161" s="22"/>
      <x:c r="Q161" s="22"/>
      <x:c r="R161" s="22"/>
    </x:row>
    <x:row r="162">
      <x:c r="A162" s="22" t="n">
        <x:v>158</x:v>
      </x:c>
      <x:c r="B162" s="22"/>
      <x:c r="C162" s="22"/>
      <x:c r="D162" s="22"/>
      <x:c r="E162" s="22"/>
      <x:c r="F162" s="22"/>
      <x:c r="G162" s="22"/>
      <x:c r="H162" s="22"/>
      <x:c r="I162" s="22"/>
      <x:c r="J162" s="22"/>
      <x:c r="K162" s="22"/>
      <x:c r="L162" s="22"/>
      <x:c r="M162" s="22" t="str">
        <x:v>Discovery append</x:v>
      </x:c>
      <x:c r="N162" s="22"/>
      <x:c r="O162" s="22"/>
      <x:c r="P162" s="22"/>
      <x:c r="Q162" s="22"/>
      <x:c r="R162" s="22"/>
    </x:row>
    <x:row r="163">
      <x:c r="A163" s="22" t="n">
        <x:v>159</x:v>
      </x:c>
      <x:c r="B163" s="22"/>
      <x:c r="C163" s="22"/>
      <x:c r="D163" s="22"/>
      <x:c r="E163" s="22"/>
      <x:c r="F163" s="22"/>
      <x:c r="G163" s="22"/>
      <x:c r="H163" s="22"/>
      <x:c r="I163" s="22"/>
      <x:c r="J163" s="22"/>
      <x:c r="K163" s="22"/>
      <x:c r="L163" s="22"/>
      <x:c r="M163" s="22" t="str">
        <x:v>Discovery append</x:v>
      </x:c>
      <x:c r="N163" s="22"/>
      <x:c r="O163" s="22"/>
      <x:c r="P163" s="22"/>
      <x:c r="Q163" s="22"/>
      <x:c r="R163" s="22"/>
    </x:row>
    <x:row r="164">
      <x:c r="A164" s="22" t="n">
        <x:v>160</x:v>
      </x:c>
      <x:c r="B164" s="22"/>
      <x:c r="C164" s="22"/>
      <x:c r="D164" s="22"/>
      <x:c r="E164" s="22"/>
      <x:c r="F164" s="22"/>
      <x:c r="G164" s="22"/>
      <x:c r="H164" s="22"/>
      <x:c r="I164" s="22"/>
      <x:c r="J164" s="22"/>
      <x:c r="K164" s="22"/>
      <x:c r="L164" s="22"/>
      <x:c r="M164" s="22" t="str">
        <x:v>Discovery append</x:v>
      </x:c>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2e8dda9420334fe9"/>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3">
      <x:c r="A3" s="64" t="str">
        <x:v>Field</x:v>
      </x:c>
      <x:c r="B3" s="64" t="str">
        <x:v>Value</x:v>
      </x:c>
    </x:row>
    <x:row r="4">
      <x:c r="A4" t="str">
        <x:v>Command</x:v>
      </x:c>
      <x:c r="B4" t="str">
        <x:v>Bắt đầu tạo bài mới Home Credit</x:v>
      </x:c>
    </x:row>
    <x:row r="5">
      <x:c r="A5" t="str">
        <x:v>Next Queue #</x:v>
      </x:c>
      <x:c xmlns:x="http://schemas.openxmlformats.org/spreadsheetml/2006/main" r="B5" t="n">
        <x:f>IFERROR(INDEX('Evergreen Queue'!$A$5:$A$164,MATCH("Ready",'Evergreen Queue'!$L$5:$L$164,0)),"DISCOVERY")</x:f>
        <x:v>3</x:v>
      </x:c>
    </x:row>
    <x:row r="6">
      <x:c r="A6" t="str">
        <x:v>Next Asset ID</x:v>
      </x:c>
      <x:c xmlns:x="http://schemas.openxmlformats.org/spreadsheetml/2006/main" r="B6" t="str">
        <x:f>IF(B5="DISCOVERY","DISCOVERY",INDEX('Evergreen Queue'!$B$5:$B$164,MATCH("Ready",'Evergreen Queue'!$L$5:$L$164,0)))</x:f>
        <x:v>L-RATE</x:v>
      </x:c>
    </x:row>
    <x:row r="7">
      <x:c r="A7" t="str">
        <x:v>Topic / Task</x:v>
      </x:c>
      <x:c xmlns:x="http://schemas.openxmlformats.org/spreadsheetml/2006/main" r="B7" t="str">
        <x:f>IF(B5="DISCOVERY","Run Discovery Mode",INDEX('Evergreen Queue'!$C$5:$C$164,MATCH("Ready",'Evergreen Queue'!$L$5:$L$164,0)))</x:f>
        <x:v>Lãi suất vay tiền mặt Home Credit: cách đọc</x:v>
      </x:c>
    </x:row>
    <x:row r="8">
      <x:c r="A8" t="str">
        <x:v>Product</x:v>
      </x:c>
      <x:c xmlns:x="http://schemas.openxmlformats.org/spreadsheetml/2006/main" r="B8" t="str">
        <x:f>IF(B5="DISCOVERY","All",INDEX('Evergreen Queue'!$D$5:$D$164,MATCH("Ready",'Evergreen Queue'!$L$5:$L$164,0)))</x:f>
        <x:v>Cash Loan</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Pillar L</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4">
      <x:c r="A14" s="67" t="str">
        <x:v>What Codex does when the command is received</x:v>
      </x:c>
      <x:c r="B14" s="67"/>
      <x:c r="C14" s="67"/>
      <x:c r="D14" s="67"/>
      <x:c r="E14" s="67"/>
      <x:c r="F14" s="67"/>
    </x:row>
    <x:row r="15">
      <x:c r="A15" s="22" t="str">
        <x:v>1) Read this sheet. 2) If Asset ID is not DISCOVERY, mark the corresponding queue row In progress and execute it. 3) Validate source/canonical/URL decision. 4) Implement with existing UI. 5) Run quality checks. 6) Commit/push/deploy using existing workflow when authorized. 7) Verify production. 8) Mark queue Done and append Run Log. 9) Stop after one content run unless the user explicitly asks for more. If Asset ID = DISCOVERY, research 3–5 candidates, score them using Discovery Rules, append qualified candidates to Evergreen Queue,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HOME CREDIT CONTENT ENGINE – RUN LOG</x:v>
      </x:c>
      <x:c r="B1" s="58"/>
      <x:c r="C1" s="58"/>
      <x:c r="D1" s="58"/>
      <x:c r="E1" s="58"/>
      <x:c r="F1" s="58"/>
      <x:c r="G1" s="58"/>
      <x:c r="H1" s="58"/>
      <x:c r="I1" s="58"/>
      <x:c r="J1" s="58"/>
      <x:c r="K1" s="58"/>
      <x:c r="L1" s="58"/>
      <x:c r="M1" s="58"/>
      <x:c r="N1" s="58"/>
      <x:c r="O1" s="58"/>
      <x:c r="P1" s="58"/>
      <x:c r="Q1" s="58"/>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L-PILLAR</x:v>
      </x:c>
      <x:c xmlns:x="http://schemas.openxmlformats.org/spreadsheetml/2006/main" r="F4" s="22" t="str">
        <x:v>Update: Vay tiền mặt Home Credit online</x:v>
      </x:c>
      <x:c xmlns:x="http://schemas.openxmlformats.org/spreadsheetml/2006/main" r="G4" s="22" t="str">
        <x:v>Update existing. Preserve canonical URL, UI and approved app referral.</x:v>
      </x:c>
      <x:c xmlns:x="http://schemas.openxmlformats.org/spreadsheetml/2006/main" r="H4" s="22" t="str">
        <x:v>https://1phutdangky.com/vay-tien-mat/vay-tien-mat-home-credit-online/</x:v>
      </x:c>
      <x:c xmlns:x="http://schemas.openxmlformats.org/spreadsheetml/2006/main" r="I4" s="22" t="str">
        <x:v>2026-10-28: https://dangky.homecredit.vn/vay-tien; https://www.homecredit.vn/vay-tien-online-nhanh; https://www.homecredit.vn/faq/vay-tien-mat; https://www.homecredit.vn/blog/cap-nhat-hop-dong-cho-vay-tien-mat; https://www.homecredit.vn/blog/huong-dan-dang-ky-vay-qua-ung-dung-clx-ug; https://www.homecredit.vn/faq/hop-dong-vay; https://www.homecredit.vn/faq/quy-trinh-tham-dinh; https://www.homecredit.vn/lien-he; FAQ-linked loan-rate PDF effective 2026-07-21; approved deeplink; AASA and assetlinks; Apple TN3155 and Android App Links docs.</x:v>
      </x:c>
      <x:c xmlns:x="http://schemas.openxmlformats.org/spreadsheetml/2006/main" r="J4" s="22" t="str">
        <x:v>docs/content/1phutdangky_Home_Credit_Evergreen_Content_Engine.xlsx only</x:v>
      </x:c>
      <x:c xmlns:x="http://schemas.openxmlformats.org/spreadsheetml/2006/main" r="K4" s="22" t="str">
        <x:v>Canonical/update decision passed. Product/source research completed. CTA gate BLOCKED: GET and HEAD 404, iPhone/Android user agents GET 404; /home without query 404; association endpoints 200. No app/store redirect observed. Device-level handoff untested. npm run check PASS: 20 HTML, 18 sitemap URLs; build, Pagefind and validator. No standalone lint/typecheck/test scripts. Workbook recalculation, scope/native-feature checks and git diff --check performed before state commit.</x:v>
      </x:c>
      <x:c xmlns:x="http://schemas.openxmlformats.org/spreadsheetml/2006/main" r="L4" s="22" t="str">
        <x:v>No content commit: blocked before implementation</x:v>
      </x:c>
      <x:c xmlns:x="http://schemas.openxmlformats.org/spreadsheetml/2006/main" r="M4" s="22" t="str">
        <x:v>No content push: blocked before implementation; workbook state saved through normal Git workflow</x:v>
      </x:c>
      <x:c xmlns:x="http://schemas.openxmlformats.org/spreadsheetml/2006/main" r="N4" s="22" t="str">
        <x:v>No manual deploy or configuration changes; existing automatic workflow preserved</x:v>
      </x:c>
      <x:c xmlns:x="http://schemas.openxmlformats.org/spreadsheetml/2006/main" r="O4" s="22" t="str">
        <x:v>Not performed: no content release</x:v>
      </x:c>
      <x:c xmlns:x="http://schemas.openxmlformats.org/spreadsheetml/2006/main" r="P4" s="22" t="str">
        <x:v>Blocked</x:v>
      </x:c>
      <x:c xmlns:x="http://schemas.openxmlformats.org/spreadsheetml/2006/main" r="Q4" s="22" t="str">
        <x:v>Required to resume: verify the exact approved URL on a real device with/without the app, or obtain an owner-approved replacement that preserves support-code attribution. Do not infer installed-app failure from HTTP 404. No source-backed article draft or product data changes published. Next selector advances to C-PILLAR, but this invocation stops after this one run.</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1</x:v>
      </x:c>
      <x:c xmlns:x="http://schemas.openxmlformats.org/spreadsheetml/2006/main" r="E5" s="22" t="str">
        <x:v>L-PILLAR</x:v>
      </x:c>
      <x:c xmlns:x="http://schemas.openxmlformats.org/spreadsheetml/2006/main" r="F5" s="22" t="str">
        <x:v>Update: Vay tiền mặt Home Credit online</x:v>
      </x:c>
      <x:c xmlns:x="http://schemas.openxmlformats.org/spreadsheetml/2006/main" r="G5" s="22" t="str">
        <x:v>Resume blocked L-PILLAR at owner request; keep URL and UI. Replace app link throughout runtime product/article and complete brief.</x:v>
      </x:c>
      <x:c xmlns:x="http://schemas.openxmlformats.org/spreadsheetml/2006/main" r="H5" s="22" t="str">
        <x:v>https://1phutdangky.com/vay-tien-mat/vay-tien-mat-home-credit-online/</x:v>
      </x:c>
      <x:c xmlns:x="http://schemas.openxmlformats.org/spreadsheetml/2006/main" r="I5" s="22" t="str">
        <x:v>S1/S2/S3/S4/S5 checked 2026-10-28; official app page https://www.homecredit.vn/ung-dung-home-credit; app-flow guide; FAQ-linked loan-rate PDF effective 2026-07-21; contact page. All nine article sources HTTP 200. Published OneLink https://hcv.onelink.me/ausQ/n7wk7jg0: iOS store redirect and Android package vn.homecredit.capp. Owner confirmed link works and app always has support-code field.</x:v>
      </x:c>
      <x:c xmlns:x="http://schemas.openxmlformats.org/spreadsheetml/2006/main" r="J5" s="22" t="str">
        <x:v>src/content/articles/vay-tien-mat/vay-tien-mat-home-credit-online.mdx; src/data/products/loans/home-credit-cash-loan.json; src/components/commercial/ProductCard.astro; docs/content/1phutdangky_Home_Credit_Evergreen_Content_Engine.xlsx</x:v>
      </x:c>
      <x:c xmlns:x="http://schemas.openxmlformats.org/spreadsheetml/2006/main" r="K5" s="22" t="str">
        <x:v>PASS npm run check: build, Pagefind, validator (20 HTML, 18 sitemap URLs). PASS git diff --check. Local Chrome QA: 375/390/768/1440, light/dark, canonical/indexability/JSON-LD, three CTAs, referral-code clipboard, consent denied/granted event gating, no horizontal overflow or page errors. No standalone lint/typecheck/test scripts. Workbook selector recalculated and native features preserved.</x:v>
      </x:c>
      <x:c xmlns:x="http://schemas.openxmlformats.org/spreadsheetml/2006/main" r="L5" s="22" t="str">
        <x:v>50f56521c5afae1afc102cbc694d1fd6b68619b2</x:v>
      </x:c>
      <x:c xmlns:x="http://schemas.openxmlformats.org/spreadsheetml/2006/main" r="M5" s="22" t="str">
        <x:v>Content commit pushed to origin/main; GitHub SHA verified</x:v>
      </x:c>
      <x:c xmlns:x="http://schemas.openxmlformats.org/spreadsheetml/2006/main" r="N5" s="22" t="str">
        <x:v>Cloudflare Pages check SUCCESS; deployment fcfa3d65-3191-4ac5-8d28-8498798a6986 via existing Git integration</x:v>
      </x:c>
      <x:c xmlns:x="http://schemas.openxmlformats.org/spreadsheetml/2006/main" r="O5" s="22" t="str">
        <x:v>PASS production HTTP 200; 3 exact OneLink CTAs, support code, canonical, title/meta/schema/sitemap; responsive light/dark and consent-aware event/copy checks repeated</x:v>
      </x:c>
      <x:c xmlns:x="http://schemas.openxmlformats.org/spreadsheetml/2006/main" r="P5" s="22" t="str">
        <x:v>Done</x:v>
      </x:c>
      <x:c xmlns:x="http://schemas.openxmlformats.org/spreadsheetml/2006/main" r="Q5" s="22" t="str">
        <x:v>Resume run 1 as run 2, not C-PILLAR. Keep original blocked history. Retain owner-approved short title and add no links to unpublished support/card routes. One content cycle only.</x:v>
      </x:c>
    </x:row>
    <x:row r="6">
      <x:c r="A6" s="22" t="n">
        <x:v>3</x:v>
      </x:c>
      <x:c xmlns:x="http://schemas.openxmlformats.org/spreadsheetml/2006/main" r="B6" s="22" t="str">
        <x:v>2026-10-29</x:v>
      </x:c>
      <x:c xmlns:x="http://schemas.openxmlformats.org/spreadsheetml/2006/main" r="C6" s="22" t="str">
        <x:v>2026-10-29</x:v>
      </x:c>
      <x:c xmlns:x="http://schemas.openxmlformats.org/spreadsheetml/2006/main" r="D6" s="22" t="n">
        <x:v>2</x:v>
      </x:c>
      <x:c xmlns:x="http://schemas.openxmlformats.org/spreadsheetml/2006/main" r="E6" s="22" t="str">
        <x:v>C-PILLAR</x:v>
      </x:c>
      <x:c xmlns:x="http://schemas.openxmlformats.org/spreadsheetml/2006/main" r="F6" s="22" t="str">
        <x:v>Publish: Mở thẻ tín dụng Home Credit online</x:v>
      </x:c>
      <x:c xmlns:x="http://schemas.openxmlformats.org/spreadsheetml/2006/main" r="G6" s="22" t="str">
        <x:v>New standalone card owner; first eligible Ready (actual Queue2, worksheet row6). Cash-loan owner retained. Verify S6/S7/S8 and approved app CTA before implementation.</x:v>
      </x:c>
      <x:c xmlns:x="http://schemas.openxmlformats.org/spreadsheetml/2006/main" r="H6" s="22" t="str">
        <x:v>https://1phutdangky.com/the-tin-dung/mo-the-tin-dung-home-credit-online/</x:v>
      </x:c>
      <x:c xmlns:x="http://schemas.openxmlformats.org/spreadsheetml/2006/main" r="I6" s="22" t="str">
        <x:v>2026-10-29 S6 official cardpage(updated12Oct2026), S7 cardFAQ, S8 contractlookup: latest linked tariff04Sep2026, cardTnC16Jul2026 and installmentTnC04Sep2026. Tariff2pages visually checked:4cardtypes, standard39k managementfee exception3M/5tx,49.5%annualinterest; onlinecard noATM, minimum formula includes installment/pastdue, latefee0.12%/day min150k/max1M collection5/35/65days. CardTnC5.1/5.2/5.4 for grace/fullpayment, cashinterestfromposting and unpaid-minimumlatefee. All7articlesourceURLsHTTP200. Approved generic OneLink iPhone301 to itms-appss AppStoreid1553761073; Android200app/storedispatcher. Nativeinstalled-app handoff and card attribution not claimed. Owner-supplied appstaffcodefield/code preserved.</x:v>
      </x:c>
      <x:c xmlns:x="http://schemas.openxmlformats.org/spreadsheetml/2006/main" r="J6" s="22" t="str">
        <x:v>src/content/articles/the-tin-dung/mo-the-tin-dung-home-credit-online.mdx; src/data/products/credit-cards/home-credit-credit-card.json; src/content/articles/vay-tien-mat/vay-tien-mat-home-credit-online.mdx; docs/content/1phutdangky_Home_Credit_Evergreen_Content_Engine.xlsx. Social images generated by existing build endpoint; no separate cover.</x:v>
      </x:c>
      <x:c xmlns:x="http://schemas.openxmlformats.org/spreadsheetml/2006/main" r="K6" s="22" t="str">
        <x:v>PASS npm run check: Astro build/Pagefind/validator24HTML/22sitemapURLs. PASS git diff --check. LocalChrome375/390/768/1440 light/dark: oneH1, title/card/OG/Twitter sync, canonical/Article/BreadcrumbList, TOC anchors, sitemaponce, Pagefind, homepage/category and reciprocal loanlinks. Three exact AppCTAs;00064470clipboard; correct separate cardproduct/eventidentity; consentdenied/granted affiliate_click/referral_code_copy. Existingloan3CTA destinations/title retained; nooverflow/runtimeerrors. Independenteditorial/source review; corrected ambiguouslatefee trigger. No separate lint/typecheck/testscripts. Workbookrecalculation and nativefeaturepreservation checked.</x:v>
      </x:c>
      <x:c xmlns:x="http://schemas.openxmlformats.org/spreadsheetml/2006/main" r="L6" s="22" t="str">
        <x:v>273e42760718aa80e4c68301cca0c0bab0f2c8ea</x:v>
      </x:c>
      <x:c xmlns:x="http://schemas.openxmlformats.org/spreadsheetml/2006/main" r="M6" s="22" t="str">
        <x:v>Pushed origin/main; remote SHA verified equal to content commit.</x:v>
      </x:c>
      <x:c xmlns:x="http://schemas.openxmlformats.org/spreadsheetml/2006/main" r="N6" s="22" t="str">
        <x:v>Existing automatic GitHub/Cloudflare Pages integration: success 406a64e3-c6f8-498e-bd9b-e771fb96d869</x:v>
      </x:c>
      <x:c xmlns:x="http://schemas.openxmlformats.org/spreadsheetml/2006/main" r="O6" s="22" t="str">
        <x:v>PASS 2026-10-29 production Chrome 375/390/768/1440 light/dark: route200, oneH1; synchronized title/card/OG/Twitter/generatedPNG200; canonical/Article/BreadcrumbList; 22sitemapURLs/newrouteonce; Pagefind; homepage/category/reciprocal loanbridge; three exact approved AppCTAs; code00064470copy; correct cardproduct identity; consentdenied/granted events; existingloan title/3CTAs unchanged; no overflow or runtimeerrors. Production390light/1440dark visually reviewed.</x:v>
      </x:c>
      <x:c xmlns:x="http://schemas.openxmlformats.org/spreadsheetml/2006/main" r="P6" s="22" t="str">
        <x:v>Done</x:v>
      </x:c>
      <x:c xmlns:x="http://schemas.openxmlformats.org/spreadsheetml/2006/main" r="Q6" s="22" t="str">
        <x:v>New card owner; loan productJSON unchanged and loanarticle only reciprocal link/update date. Title ends online. Generic AppCTA not a card-specific deeplink; staffcode not labelled cardreferralcode. Shared UI/analytics/deploymentconfig unchanged. Fixed NextAction B5: old formula returned Excelrow6 as Queue#; changed only this formula to INDEX actualqueueID (nootherformula depends on its numeric row). Refreshed selector correctly points Queue3 L-RATE. Prior blocked/resume history preserved.</x:v>
      </x:c>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3a3420ee283452b"/>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HOME CREDIT TOPICS</x:v>
      </x:c>
      <x:c r="B1" s="58"/>
      <x:c r="C1" s="58"/>
      <x:c r="D1" s="58"/>
      <x:c r="E1" s="58"/>
      <x:c r="F1" s="58"/>
      <x:c r="G1" s="58"/>
      <x:c r="H1" s="58"/>
      <x:c r="I1" s="58"/>
      <x:c r="J1" s="58"/>
    </x:row>
    <x:row r="2">
      <x:c r="A2" s="60" t="str">
        <x:v>Discovery runs only when no Ready item remains. It creates a small evidence-based queue, not an unlimited content brainstorm.</x:v>
      </x:c>
      <x:c r="B2" s="60"/>
      <x:c r="C2" s="60"/>
      <x:c r="D2" s="60"/>
      <x:c r="E2" s="60"/>
      <x:c r="F2" s="60"/>
      <x:c r="G2" s="60"/>
      <x:c r="H2" s="60"/>
      <x:c r="I2" s="60"/>
      <x:c r="J2" s="60"/>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if available; otherwise SERP/query patterns.</x:v>
      </x:c>
      <x:c r="J5" s="22" t="str">
        <x:v>Search Console / keyword source / SERP</x:v>
      </x:c>
    </x:row>
    <x:row r="6">
      <x:c r="A6" s="22" t="str">
        <x:v>Intent separation</x:v>
      </x:c>
      <x:c r="B6" s="22" t="str">
        <x:v>Same as owner</x:v>
      </x:c>
      <x:c r="C6" s="22" t="str">
        <x:v>Mostly overlap</x:v>
      </x:c>
      <x:c r="D6" s="22" t="str">
        <x:v>Partial</x:v>
      </x:c>
      <x:c r="E6" s="22" t="str">
        <x:v>Distinct enough</x:v>
      </x:c>
      <x:c r="F6" s="22" t="str">
        <x:v>Strongly distinct</x:v>
      </x:c>
      <x:c r="G6" s="22" t="str">
        <x:v>Standalone task</x:v>
      </x:c>
      <x:c r="H6" s="22" t="n">
        <x:v>3</x:v>
      </x:c>
      <x:c r="I6" s="22" t="str">
        <x:v>High score required for a new URL.</x:v>
      </x:c>
      <x:c r="J6" s="22" t="str">
        <x:v>SERP + current site</x:v>
      </x:c>
    </x:row>
    <x:row r="7">
      <x:c r="A7" s="22" t="str">
        <x:v>Business value</x:v>
      </x:c>
      <x:c r="B7" s="22" t="str">
        <x:v>None</x:v>
      </x:c>
      <x:c r="C7" s="22" t="str">
        <x:v>Low</x:v>
      </x:c>
      <x:c r="D7" s="22" t="str">
        <x:v>Low-mid</x:v>
      </x:c>
      <x:c r="E7" s="22" t="str">
        <x:v>Medium</x:v>
      </x:c>
      <x:c r="F7" s="22" t="str">
        <x:v>High</x:v>
      </x:c>
      <x:c r="G7" s="22" t="str">
        <x:v>Very high</x:v>
      </x:c>
      <x:c r="H7" s="22" t="n">
        <x:v>2</x:v>
      </x:c>
      <x:c r="I7" s="22" t="str">
        <x:v>Loan/card conversion or task completion gets higher weight.</x:v>
      </x:c>
      <x:c r="J7" s="22" t="str">
        <x:v>CTA/funnel</x:v>
      </x:c>
    </x:row>
    <x:row r="8">
      <x:c r="A8" s="22" t="str">
        <x:v>Source readiness</x:v>
      </x:c>
      <x:c r="B8" s="22" t="str">
        <x:v>No source</x:v>
      </x:c>
      <x:c r="C8" s="22" t="str">
        <x:v>Weak third-party</x:v>
      </x:c>
      <x:c r="D8" s="22" t="str">
        <x:v>Partial</x:v>
      </x:c>
      <x:c r="E8" s="22" t="str">
        <x:v>Good</x:v>
      </x:c>
      <x:c r="F8" s="22" t="str">
        <x:v>Official</x:v>
      </x:c>
      <x:c r="G8" s="22" t="str">
        <x:v>Official + current terms</x:v>
      </x:c>
      <x:c r="H8" s="22" t="n">
        <x:v>3</x:v>
      </x:c>
      <x:c r="I8" s="22" t="str">
        <x:v>Financial claims require official/current evidence.</x:v>
      </x:c>
      <x:c r="J8" s="22" t="str">
        <x:v>Home Credit official</x:v>
      </x:c>
    </x:row>
    <x:row r="9">
      <x:c r="A9" s="22" t="str">
        <x:v>Content gap</x:v>
      </x:c>
      <x:c r="B9" s="22" t="str">
        <x:v>Already complete</x:v>
      </x:c>
      <x:c r="C9" s="22" t="str">
        <x:v>Minor</x:v>
      </x:c>
      <x:c r="D9" s="22" t="str">
        <x:v>Small</x:v>
      </x:c>
      <x:c r="E9" s="22" t="str">
        <x:v>Moderate</x:v>
      </x:c>
      <x:c r="F9" s="22" t="str">
        <x:v>Clear</x:v>
      </x:c>
      <x:c r="G9" s="22" t="str">
        <x:v>Major</x:v>
      </x:c>
      <x:c r="H9" s="22" t="n">
        <x:v>2</x:v>
      </x:c>
      <x:c r="I9" s="22" t="str">
        <x:v>Prefer actual unanswered user tasks.</x:v>
      </x:c>
      <x:c r="J9" s="22" t="str">
        <x:v>Site audit + Search Console</x:v>
      </x:c>
    </x:row>
    <x:row r="10">
      <x:c r="A10" s="22" t="str">
        <x:v>Cannibalization risk</x:v>
      </x:c>
      <x:c r="B10" s="22" t="str">
        <x:v>Very high</x:v>
      </x:c>
      <x:c r="C10" s="22" t="str">
        <x:v>High</x:v>
      </x:c>
      <x:c r="D10" s="22" t="str">
        <x:v>Medium-high</x:v>
      </x:c>
      <x:c r="E10" s="22" t="str">
        <x:v>Medium</x:v>
      </x:c>
      <x:c r="F10" s="22" t="str">
        <x:v>Low</x:v>
      </x:c>
      <x:c r="G10" s="22" t="str">
        <x:v>Very low</x:v>
      </x:c>
      <x:c r="H10" s="22" t="n">
        <x:v>3</x:v>
      </x:c>
      <x:c r="I10" s="22" t="str">
        <x:v>Lower risk is better; merge if overlap remains high.</x:v>
      </x:c>
      <x:c r="J10" s="22" t="str">
        <x:v>Existing routes/SERP</x:v>
      </x:c>
    </x:row>
    <x:row r="12">
      <x:c r="A12" s="67" t="str">
        <x:v>Candidate acceptance rule</x:v>
      </x:c>
      <x:c r="B12" s="67"/>
      <x:c r="C12" s="67"/>
      <x:c r="D12" s="67"/>
      <x:c r="E12" s="67"/>
      <x:c r="F12" s="67"/>
      <x:c r="G12" s="67"/>
      <x:c r="H12" s="67"/>
      <x:c r="I12" s="67"/>
      <x:c r="J12" s="67"/>
    </x:row>
    <x:row r="13">
      <x:c r="A13" s="22" t="str">
        <x:v>For each candidate, record evidence and score the six signals. New URL candidates should normally score at least 3/5 on Intent separation, 3/5 on Source readiness, and have low-to-moderate cannibalization risk. If a topic is valuable but overlaps an owner, add it as an update/section item instead. Append only 3–5 candidates per discovery run. Set exactly one best-qualified item to Ready; leave others as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20">
      <x:c r="A20" s="64" t="str">
        <x:v>Candidate</x:v>
      </x:c>
      <x:c r="B20" s="64" t="str">
        <x:v>Product</x:v>
      </x:c>
      <x:c r="C20" s="64" t="str">
        <x:v>Intent</x:v>
      </x:c>
      <x:c r="D20" s="64" t="str">
        <x:v>Demand</x:v>
      </x:c>
      <x:c r="E20" s="64" t="str">
        <x:v>Separation</x:v>
      </x:c>
      <x:c r="F20" s="64" t="str">
        <x:v>Business</x:v>
      </x:c>
      <x:c r="G20" s="64" t="str">
        <x:v>Source</x:v>
      </x:c>
      <x:c r="H20" s="64" t="str">
        <x:v>Gap</x:v>
      </x:c>
      <x:c r="I20" s="64" t="str">
        <x:v>Cannibalization</x:v>
      </x:c>
      <x:c r="J20" s="64" t="str">
        <x:v>Decision</x:v>
      </x:c>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